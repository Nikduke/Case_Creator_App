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yNikishin\MY_Code\Case_generator_v2\examples\"/>
    </mc:Choice>
  </mc:AlternateContent>
  <xr:revisionPtr revIDLastSave="0" documentId="13_ncr:1_{4AAABD7D-A331-4F2D-A493-C8FE7F8E06F8}" xr6:coauthVersionLast="47" xr6:coauthVersionMax="47" xr10:uidLastSave="{00000000-0000-0000-0000-000000000000}"/>
  <bookViews>
    <workbookView xWindow="-98" yWindow="-98" windowWidth="22695" windowHeight="14595" tabRatio="834" firstSheet="1" activeTab="2" xr2:uid="{00000000-000D-0000-FFFF-FFFF00000000}"/>
  </bookViews>
  <sheets>
    <sheet name="BaseSheet" sheetId="2" state="hidden" r:id="rId1"/>
    <sheet name="Input_Data" sheetId="1" r:id="rId2"/>
    <sheet name="Comp_Stat" sheetId="17" r:id="rId3"/>
    <sheet name="Layer_Stat" sheetId="18" r:id="rId4"/>
    <sheet name="Res_Flux" sheetId="6" r:id="rId5"/>
    <sheet name="MM_blocks" sheetId="16" r:id="rId6"/>
  </sheets>
  <definedNames>
    <definedName name="_xlnm._FilterDatabase" localSheetId="1" hidden="1">Input_Data!$A$1:$D$36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5" i="1" l="1"/>
  <c r="B46" i="1" s="1"/>
  <c r="B54" i="1"/>
  <c r="B40" i="1" l="1"/>
  <c r="B4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tc={C698EBFC-7F1A-4130-AB51-CF516D73A2FC}</author>
    <author>tc={4400D75F-EDF9-46DC-9CA6-FE72702B4A7E}</author>
    <author>tc={5DDB25AA-F796-4E33-AA2B-98014D1C8B39}</author>
    <author>tc={514D3AF3-D319-43D7-A9E2-567BA67814A2}</author>
  </authors>
  <commentList>
    <comment ref="B34" authorId="0" shapeId="0" xr:uid="{C698EBFC-7F1A-4130-AB51-CF516D73A2FC}">
      <text>
        <t>[Threaded comment]
Your version of Excel allows you to read this threaded comment; however, any edits to it will get removed if the file is opened in a newer version of Excel. Learn more: https://go.microsoft.com/fwlink/?linkid=870924
Comment:
    R+</t>
      </text>
    </comment>
    <comment ref="B35" authorId="1" shapeId="0" xr:uid="{4400D75F-EDF9-46DC-9CA6-FE72702B4A7E}">
      <text>
        <t>[Threaded comment]
Your version of Excel allows you to read this threaded comment; however, any edits to it will get removed if the file is opened in a newer version of Excel. Learn more: https://go.microsoft.com/fwlink/?linkid=870924
Comment:
    X+</t>
      </text>
    </comment>
    <comment ref="B36" authorId="2" shapeId="0" xr:uid="{5DDB25AA-F796-4E33-AA2B-98014D1C8B39}">
      <text>
        <t>[Threaded comment]
Your version of Excel allows you to read this threaded comment; however, any edits to it will get removed if the file is opened in a newer version of Excel. Learn more: https://go.microsoft.com/fwlink/?linkid=870924
Comment:
    R0</t>
      </text>
    </comment>
    <comment ref="B37" authorId="3" shapeId="0" xr:uid="{514D3AF3-D319-43D7-A9E2-567BA67814A2}">
      <text>
        <t>[Threaded comment]
Your version of Excel allows you to read this threaded comment; however, any edits to it will get removed if the file is opened in a newer version of Excel. Learn more: https://go.microsoft.com/fwlink/?linkid=870924
Comment:
    X0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tc={BCA55330-0DA1-45F0-9C6B-C07494C29A54}</author>
    <author>tc={7A24FDEC-76DA-4356-B821-EAB04EA6FDAF}</author>
  </authors>
  <commentList>
    <comment ref="F7" authorId="0" shapeId="0" xr:uid="{BCA55330-0DA1-45F0-9C6B-C07494C29A54}">
      <text>
        <t>[Threaded comment]
Your version of Excel allows you to read this threaded comment; however, any edits to it will get removed if the file is opened in a newer version of Excel. Learn more: https://go.microsoft.com/fwlink/?linkid=870924
Comment:
    Calculated with FP</t>
      </text>
    </comment>
    <comment ref="F25" authorId="1" shapeId="0" xr:uid="{7A24FDEC-76DA-4356-B821-EAB04EA6FDAF}">
      <text>
        <t>[Threaded comment]
Your version of Excel allows you to read this threaded comment; however, any edits to it will get removed if the file is opened in a newer version of Excel. Learn more: https://go.microsoft.com/fwlink/?linkid=870924
Comment:
    Calculated with FP</t>
      </text>
    </comment>
  </commentList>
</comments>
</file>

<file path=xl/sharedStrings.xml><?xml version="1.0" encoding="utf-8"?>
<sst xmlns="http://schemas.openxmlformats.org/spreadsheetml/2006/main" count="3394" uniqueCount="330">
  <si>
    <t>Parameter</t>
  </si>
  <si>
    <t>Value</t>
  </si>
  <si>
    <t>Units</t>
  </si>
  <si>
    <t>Comment</t>
  </si>
  <si>
    <t>s</t>
  </si>
  <si>
    <t>Total run time of simulation</t>
  </si>
  <si>
    <t>us</t>
  </si>
  <si>
    <t>Int</t>
  </si>
  <si>
    <t>Real</t>
  </si>
  <si>
    <t>str</t>
  </si>
  <si>
    <t>Extension of FORTRAN genrated folder</t>
  </si>
  <si>
    <t>Parallel simulations</t>
  </si>
  <si>
    <t>Number of simulations to be run in parallel</t>
  </si>
  <si>
    <t>These base parameters will be used for all the studies</t>
  </si>
  <si>
    <t>Study type</t>
  </si>
  <si>
    <t>-</t>
  </si>
  <si>
    <t>DO NOT DELETE THIS SHEET</t>
  </si>
  <si>
    <t>Switch start</t>
  </si>
  <si>
    <t>Switch stop</t>
  </si>
  <si>
    <t>End of Range for Variable 1 in s  [Max1R]</t>
  </si>
  <si>
    <t>These parameters will be used for all the studies</t>
  </si>
  <si>
    <t>N1R</t>
  </si>
  <si>
    <t>Number of Runs for Variable 1</t>
  </si>
  <si>
    <t>N2R</t>
  </si>
  <si>
    <t>Number of Runs for Variable 2</t>
  </si>
  <si>
    <t>N3R</t>
  </si>
  <si>
    <t>Number of Runs for Variable 3</t>
  </si>
  <si>
    <t>Min1R</t>
  </si>
  <si>
    <t>Start of Range for Variable 1 (Switching on one cylcle, 20ms for 50Hz)</t>
  </si>
  <si>
    <t>Max1R</t>
  </si>
  <si>
    <t>End of Range for Variable 1</t>
  </si>
  <si>
    <t>Min2R</t>
  </si>
  <si>
    <t>Max2R</t>
  </si>
  <si>
    <t>Min3R</t>
  </si>
  <si>
    <t>Max3R</t>
  </si>
  <si>
    <t>Breaker_Status</t>
  </si>
  <si>
    <t>Definition</t>
  </si>
  <si>
    <t>Breaker</t>
  </si>
  <si>
    <t>Main</t>
  </si>
  <si>
    <t>ON</t>
  </si>
  <si>
    <t>Layers</t>
  </si>
  <si>
    <t>Layer</t>
  </si>
  <si>
    <t>R_flux</t>
  </si>
  <si>
    <t>Trf</t>
  </si>
  <si>
    <t>String</t>
  </si>
  <si>
    <t>Yes</t>
  </si>
  <si>
    <t>No</t>
  </si>
  <si>
    <t>Parameters for multiple run component (Stochastic mrun component)</t>
  </si>
  <si>
    <t>Parameters for multiple run component (Sequential mrun component)</t>
  </si>
  <si>
    <t>Select the type of study done in PSCAD</t>
  </si>
  <si>
    <t>Group</t>
  </si>
  <si>
    <t>PSCAD instances</t>
  </si>
  <si>
    <t>GFortran 4.2.1</t>
  </si>
  <si>
    <t>GFortran 4.6.2</t>
  </si>
  <si>
    <t>Intel 16.0.110</t>
  </si>
  <si>
    <t>Intel 16.0.110 (64-bit)</t>
  </si>
  <si>
    <t>Intel 16.0.207</t>
  </si>
  <si>
    <t>Intel 16.0.207 (64-bit)</t>
  </si>
  <si>
    <t>FORTRAN Compiler</t>
  </si>
  <si>
    <t>Set Up - Which folders, libraries, files do you need in the Case_folder?</t>
  </si>
  <si>
    <t>Libraries</t>
  </si>
  <si>
    <t>Put the folder names that you need separated by commas. The folders must be in the root folder</t>
  </si>
  <si>
    <t>Folders</t>
  </si>
  <si>
    <t>Files inside cases</t>
  </si>
  <si>
    <t>Files in Case_folder</t>
  </si>
  <si>
    <t>Name of .pswx file that can be sent to client</t>
  </si>
  <si>
    <t>Name of .pswx file for internal MPE use</t>
  </si>
  <si>
    <t xml:space="preserve">Set Up - Define the auto controllers you want to use? </t>
  </si>
  <si>
    <t>Auto_Ctrl</t>
  </si>
  <si>
    <t>Auto</t>
  </si>
  <si>
    <t>Hz</t>
  </si>
  <si>
    <t>Enable</t>
  </si>
  <si>
    <t>Sweep_Components</t>
  </si>
  <si>
    <t>Frequency sweep options</t>
  </si>
  <si>
    <t>Min Frequency</t>
  </si>
  <si>
    <t>Min frequency for sweep (Fmin)</t>
  </si>
  <si>
    <t>Max Frequency</t>
  </si>
  <si>
    <t>Min frequency for sweep (Fmax)</t>
  </si>
  <si>
    <t>Frequency increment</t>
  </si>
  <si>
    <t>Steps of frequency increment (Finc)</t>
  </si>
  <si>
    <t>Increment Type</t>
  </si>
  <si>
    <t>Linear = 0, log = 1 (FType)</t>
  </si>
  <si>
    <t>Z output type</t>
  </si>
  <si>
    <t>Sequence impedance = 0, Phase impedance =1 (HType)</t>
  </si>
  <si>
    <t>Frequency units</t>
  </si>
  <si>
    <t>Frequency output units (FUnits)</t>
  </si>
  <si>
    <t>Impedancce output units</t>
  </si>
  <si>
    <t>Magnitude and phase =0, real and imaginary = 1 (HUnits)</t>
  </si>
  <si>
    <t>Fault_level</t>
  </si>
  <si>
    <t>Input parameters pre Snapshot</t>
  </si>
  <si>
    <t>Input parameters post Snapshot</t>
  </si>
  <si>
    <t>This option enable 1 model for MPE and 1 for client. Typical of Orsted studies to not provide MPE IP</t>
  </si>
  <si>
    <t>On</t>
  </si>
  <si>
    <t>Off</t>
  </si>
  <si>
    <t>On-Off</t>
  </si>
  <si>
    <t>Switch type</t>
  </si>
  <si>
    <t>Faults</t>
  </si>
  <si>
    <t>Consider residual flux of transformers? Yes or No - Only for TX Energisation studies</t>
  </si>
  <si>
    <t>Residual Flux</t>
  </si>
  <si>
    <t>Off-On</t>
  </si>
  <si>
    <t>Time step</t>
  </si>
  <si>
    <t>Initialisation duration</t>
  </si>
  <si>
    <t>Final duration</t>
  </si>
  <si>
    <t>Total run time of simulation after snapshot</t>
  </si>
  <si>
    <r>
      <t>Simulation plot step.</t>
    </r>
    <r>
      <rPr>
        <sz val="11"/>
        <color rgb="FF7030A0"/>
        <rFont val="Calibri"/>
        <family val="2"/>
        <scheme val="minor"/>
      </rPr>
      <t xml:space="preserve"> Recommended 20 for SFO and 100 for TOV</t>
    </r>
  </si>
  <si>
    <r>
      <t xml:space="preserve">Simulation time step.  </t>
    </r>
    <r>
      <rPr>
        <sz val="11"/>
        <color rgb="FF7030A0"/>
        <rFont val="Calibri"/>
        <family val="2"/>
        <scheme val="minor"/>
      </rPr>
      <t>Recommended 2 for SFO and 5 for TOV</t>
    </r>
  </si>
  <si>
    <t>Snapshot Time</t>
  </si>
  <si>
    <t>Client file exist</t>
  </si>
  <si>
    <t>MPE Workspace</t>
  </si>
  <si>
    <t>Client Workspace</t>
  </si>
  <si>
    <t>Sequential or Stochastic</t>
  </si>
  <si>
    <t>Switch operation</t>
  </si>
  <si>
    <t>Sequential</t>
  </si>
  <si>
    <t>Take Snapshot</t>
  </si>
  <si>
    <t>Frequency Sweep</t>
  </si>
  <si>
    <t>If you say Yes to that the script ignores all that is not the sweep</t>
  </si>
  <si>
    <t>Parameters for fault (Sequential runs)</t>
  </si>
  <si>
    <t>Frequency</t>
  </si>
  <si>
    <t>Grid frequency</t>
  </si>
  <si>
    <t>The values in grey should only be modified if required for studies otherwise kept as default</t>
  </si>
  <si>
    <t>These are the variables in the client PSCAD file</t>
  </si>
  <si>
    <t>These parameters will be used for sequential switching</t>
  </si>
  <si>
    <t>These parameters will be only used for stochastic switching</t>
  </si>
  <si>
    <t>Use faults with some switching (defines the switch stop). If you desire no switching don`t use SWITCH in Comp_Stat</t>
  </si>
  <si>
    <t>These parameters will be used for Frequency Sweep. It is recommended to have client file when doing Frequency Sweep so that the taps you use are the correct ones for your study</t>
  </si>
  <si>
    <t>List</t>
  </si>
  <si>
    <r>
      <rPr>
        <sz val="11"/>
        <color rgb="FFFF0000"/>
        <rFont val="Calibri"/>
        <family val="2"/>
        <scheme val="minor"/>
      </rPr>
      <t>If Client file exists</t>
    </r>
    <r>
      <rPr>
        <sz val="11"/>
        <color theme="1"/>
        <rFont val="Calibri"/>
        <family val="2"/>
        <scheme val="minor"/>
      </rPr>
      <t xml:space="preserve"> select the controlled variables in the order they appear</t>
    </r>
  </si>
  <si>
    <t>Post Process</t>
  </si>
  <si>
    <t>Number of cores</t>
  </si>
  <si>
    <t>Number of cores to be used in the Post Processing. Auto will use 90% of PC capacity limited to 60 cores (Python limit)</t>
  </si>
  <si>
    <t>Constants</t>
  </si>
  <si>
    <t>Un</t>
  </si>
  <si>
    <t>Um</t>
  </si>
  <si>
    <t>If you have faults pay attention to Fault starts (Should be greater than switch start)</t>
  </si>
  <si>
    <t>If you have faults pay attention to Fault starts (Should be the same unless special conditions apply)</t>
  </si>
  <si>
    <t>Fault increment</t>
  </si>
  <si>
    <t>Switch increment</t>
  </si>
  <si>
    <t>Fault start</t>
  </si>
  <si>
    <t>CB</t>
  </si>
  <si>
    <t>LIWL</t>
  </si>
  <si>
    <t>MM_230_OSS1</t>
  </si>
  <si>
    <t>Stochastic single-pole</t>
  </si>
  <si>
    <t>Stochastic 3-pole</t>
  </si>
  <si>
    <t>Select the type of switching for the breaker in the study</t>
  </si>
  <si>
    <t>None</t>
  </si>
  <si>
    <r>
      <t>Are there faults in your study? Yes or No -</t>
    </r>
    <r>
      <rPr>
        <sz val="11"/>
        <color rgb="FFFF0000"/>
        <rFont val="Calibri"/>
        <family val="2"/>
        <scheme val="minor"/>
      </rPr>
      <t xml:space="preserve"> Faults are only applicable in sequential studies</t>
    </r>
  </si>
  <si>
    <t>2nd Switch delay</t>
  </si>
  <si>
    <t>Time delay to perform 2nd switch after 1st switch</t>
  </si>
  <si>
    <t>Start of Range for Fault</t>
  </si>
  <si>
    <r>
      <t>Increment for each run in s  [Inc1R]</t>
    </r>
    <r>
      <rPr>
        <sz val="11"/>
        <color rgb="FFFF0000"/>
        <rFont val="Calibri"/>
        <family val="2"/>
        <scheme val="minor"/>
      </rPr>
      <t xml:space="preserve"> - That is only relevant if Switch type is None then the multirun is only defined by faults</t>
    </r>
  </si>
  <si>
    <r>
      <t>End of Range for fault</t>
    </r>
    <r>
      <rPr>
        <sz val="11"/>
        <color rgb="FFFF0000"/>
        <rFont val="Calibri"/>
        <family val="2"/>
        <scheme val="minor"/>
      </rPr>
      <t xml:space="preserve">  - That is only relevant if Switch type is None then the multirun is only defined by faults</t>
    </r>
  </si>
  <si>
    <t>Fault end</t>
  </si>
  <si>
    <t>Plot step</t>
  </si>
  <si>
    <t>OFF</t>
  </si>
  <si>
    <t>Relative paths to library names that you need separated by commas. The libs must be in the root folder - Use "Foldername\" if inside folder</t>
  </si>
  <si>
    <t>Relative paths to file names that you need separated by commas. The files must be in the root folder - Use "Foldername\" if inside folder</t>
  </si>
  <si>
    <t>Relative paths to file names that you need separated by commas. The folders containing them must be in the root folder - Use "Foldername\" if inside folder</t>
  </si>
  <si>
    <t>Create cases</t>
  </si>
  <si>
    <r>
      <t xml:space="preserve">Snapshot time as a real number, </t>
    </r>
    <r>
      <rPr>
        <sz val="11"/>
        <color rgb="FFFF0000"/>
        <rFont val="Calibri"/>
        <family val="2"/>
        <scheme val="minor"/>
      </rPr>
      <t>only works when snap_shot &gt; 0</t>
    </r>
  </si>
  <si>
    <t>Think carefully before changing this - This will jump the case creation and jump straigth to run snapshot, then run simulations</t>
  </si>
  <si>
    <t>Think carefully before changing this - You NEED a Snapshot to run studies this option is only applicable when you already have a snapshot (exception to Freq Sweep) - Choose No if you already have the snapshots from a previous run - If you have a client file think thrice</t>
  </si>
  <si>
    <r>
      <t>End of Range for Variable 2</t>
    </r>
    <r>
      <rPr>
        <sz val="11"/>
        <color rgb="FFFF0000"/>
        <rFont val="Calibri"/>
        <family val="2"/>
        <scheme val="minor"/>
      </rPr>
      <t xml:space="preserve"> - Breaker scatter if  3-pole switching selected or end of range if single-pole switching selected</t>
    </r>
  </si>
  <si>
    <r>
      <t>End of Range for Variable 3</t>
    </r>
    <r>
      <rPr>
        <sz val="11"/>
        <color rgb="FFFF0000"/>
        <rFont val="Calibri"/>
        <family val="2"/>
        <scheme val="minor"/>
      </rPr>
      <t xml:space="preserve"> - Breaker scatter if  3-pole switching selected or end of range if single-pole switching selected</t>
    </r>
  </si>
  <si>
    <r>
      <t>Start of Range for Variable 3</t>
    </r>
    <r>
      <rPr>
        <sz val="11"/>
        <color rgb="FFFF0000"/>
        <rFont val="Calibri"/>
        <family val="2"/>
        <scheme val="minor"/>
      </rPr>
      <t xml:space="preserve"> - Breaker scatter if  3-pole switching selected or start of range if single-pole switching selected</t>
    </r>
  </si>
  <si>
    <r>
      <t>Start of Range for Variable 2</t>
    </r>
    <r>
      <rPr>
        <sz val="11"/>
        <color rgb="FFFF0000"/>
        <rFont val="Calibri"/>
        <family val="2"/>
        <scheme val="minor"/>
      </rPr>
      <t xml:space="preserve"> - Breaker scatter if  3-pole switching selected or start of range if single-pole switching selected</t>
    </r>
  </si>
  <si>
    <t>CB_161_ONT1</t>
  </si>
  <si>
    <t>CB_230_ONT1</t>
  </si>
  <si>
    <t>CB_230_ONC1</t>
  </si>
  <si>
    <t>CB_230_VSR1</t>
  </si>
  <si>
    <t>CB_230_OFT1</t>
  </si>
  <si>
    <t>CB_230_TIE</t>
  </si>
  <si>
    <t>CB_161_ONT2</t>
  </si>
  <si>
    <t>CB_230_ONT2</t>
  </si>
  <si>
    <t>CB_230_ONC2</t>
  </si>
  <si>
    <t>CB_230_VSR2</t>
  </si>
  <si>
    <t>CB_230_OFT2</t>
  </si>
  <si>
    <t>MM_230_ONT1</t>
  </si>
  <si>
    <t>MM_161_TPC</t>
  </si>
  <si>
    <t>MM_161_ONT1</t>
  </si>
  <si>
    <t>MM_161_ONT2</t>
  </si>
  <si>
    <t>MM_230_ONT2</t>
  </si>
  <si>
    <t>MM_230_VSR1</t>
  </si>
  <si>
    <t>MM_230_VSR2</t>
  </si>
  <si>
    <t>MM_230_ONC1</t>
  </si>
  <si>
    <t>MM_230_ONC2</t>
  </si>
  <si>
    <t>MM_230_OSS2</t>
  </si>
  <si>
    <t>MM_230_OFT1</t>
  </si>
  <si>
    <t>MM_230_OFT2</t>
  </si>
  <si>
    <t>Adjust names</t>
  </si>
  <si>
    <t>If you switch to No, the MMs, CBs, ZMs, and TOVs names and  will not be adjusted by script. It will make case creation faster but more prone to human error</t>
  </si>
  <si>
    <t>If you say Yes only the post processing is done. You need to already have the PSCAD results in this case</t>
  </si>
  <si>
    <t>Jump to Post Processing</t>
  </si>
  <si>
    <t>SDPF_LG</t>
  </si>
  <si>
    <t>SDPF_LL</t>
  </si>
  <si>
    <t>SIWL_LG</t>
  </si>
  <si>
    <t>SIWL_LL</t>
  </si>
  <si>
    <t>MM_22_ONS1</t>
  </si>
  <si>
    <t>MM_22_ONS2</t>
  </si>
  <si>
    <t>MM_22_ONT1</t>
  </si>
  <si>
    <t>MM_22_ONT2</t>
  </si>
  <si>
    <t>MM_230_ONS1</t>
  </si>
  <si>
    <t>MM_230_ONS2</t>
  </si>
  <si>
    <t>MM_66_OFT1</t>
  </si>
  <si>
    <t>MM_66_OFT2</t>
  </si>
  <si>
    <t>Script_FL</t>
  </si>
  <si>
    <t>OnSS_VSR1</t>
  </si>
  <si>
    <t>OnSS_VSR2</t>
  </si>
  <si>
    <t>I_VSR</t>
  </si>
  <si>
    <t>CB_22_ONT1</t>
  </si>
  <si>
    <t>CB_22_ONT2</t>
  </si>
  <si>
    <t>CB_22_TIE</t>
  </si>
  <si>
    <t>CB_66_OFT1</t>
  </si>
  <si>
    <t>CB_66_OFT2</t>
  </si>
  <si>
    <t>CB_66_TIE</t>
  </si>
  <si>
    <t>MM_161_ONS</t>
  </si>
  <si>
    <t>AC_Vgridpu</t>
  </si>
  <si>
    <t>SWITCH</t>
  </si>
  <si>
    <t>CB_66_StA</t>
  </si>
  <si>
    <t>CB_66_StB</t>
  </si>
  <si>
    <t>CB_66_StC</t>
  </si>
  <si>
    <t>CB_66_StD</t>
  </si>
  <si>
    <t>CB_66_StE</t>
  </si>
  <si>
    <t>CB_66_StF</t>
  </si>
  <si>
    <t>CB_66_StG</t>
  </si>
  <si>
    <t>CB_66_StH</t>
  </si>
  <si>
    <t>CB_161_TPC</t>
  </si>
  <si>
    <t>CB_161_ONS</t>
  </si>
  <si>
    <t>CB_230_HF1</t>
  </si>
  <si>
    <t>CB_230_HF2</t>
  </si>
  <si>
    <t>FLT_161_TPC</t>
  </si>
  <si>
    <t>FLT_66_T23</t>
  </si>
  <si>
    <t>FLT_66_T29</t>
  </si>
  <si>
    <t>CB_66_T29</t>
  </si>
  <si>
    <t>Disable</t>
  </si>
  <si>
    <t>FLT_66_WTT29</t>
  </si>
  <si>
    <t>MM_66_StA</t>
  </si>
  <si>
    <t>MM_66_StB</t>
  </si>
  <si>
    <t>MM_66_StC</t>
  </si>
  <si>
    <t>MM_66_StD</t>
  </si>
  <si>
    <t>MM_66_StE</t>
  </si>
  <si>
    <t>MM_66_StF</t>
  </si>
  <si>
    <t>MM_66_StH</t>
  </si>
  <si>
    <t>MM_66_T23</t>
  </si>
  <si>
    <t>MM_66_T29</t>
  </si>
  <si>
    <t>MM_66_W29</t>
  </si>
  <si>
    <t>C22_S1_161POC</t>
  </si>
  <si>
    <t>C22_S1_161ONT2</t>
  </si>
  <si>
    <t>C23_S1_161POC</t>
  </si>
  <si>
    <t>C23_S1_161ONT2</t>
  </si>
  <si>
    <t>C22_S1_230ONT2</t>
  </si>
  <si>
    <t>C22_S1_230ONC2</t>
  </si>
  <si>
    <t>C22_S1_230OFC2</t>
  </si>
  <si>
    <t>C22_S1_230OFT2</t>
  </si>
  <si>
    <t>C22_S1_230HF2</t>
  </si>
  <si>
    <t>C22_S1_230VSR2</t>
  </si>
  <si>
    <t>C23_S1_230ONT2</t>
  </si>
  <si>
    <t>C23_S1_230ONC2</t>
  </si>
  <si>
    <t>C23_S1_230OFC2</t>
  </si>
  <si>
    <t>C23_S1_230OFT2</t>
  </si>
  <si>
    <t>C23_S1_230HF2</t>
  </si>
  <si>
    <t>C23_S1_230VSR2</t>
  </si>
  <si>
    <t>C23_S1_22ONT2</t>
  </si>
  <si>
    <t>C23_S1_22BB2</t>
  </si>
  <si>
    <t>C22_S1_22ONT2</t>
  </si>
  <si>
    <t>C22_S1_22BB2</t>
  </si>
  <si>
    <t>C22_S1_66OFT2</t>
  </si>
  <si>
    <t>C22_S1_66T23</t>
  </si>
  <si>
    <t>C22_S1_66T29</t>
  </si>
  <si>
    <t>C22_S1_66WT29</t>
  </si>
  <si>
    <t>C23_S1_66OFT2</t>
  </si>
  <si>
    <t>C23_S1_66T23</t>
  </si>
  <si>
    <t>C23_S1_66T29</t>
  </si>
  <si>
    <t>C23_S1_66WT29</t>
  </si>
  <si>
    <t>C25_S1_66OFT2</t>
  </si>
  <si>
    <t>FLT_230_HF2</t>
  </si>
  <si>
    <t>MM_161_CF</t>
  </si>
  <si>
    <t>MM_66_StG</t>
  </si>
  <si>
    <t>MM_230_HF1</t>
  </si>
  <si>
    <t>MM_230_HF2</t>
  </si>
  <si>
    <t>MM_66_OSS2</t>
  </si>
  <si>
    <t>MM_66_OSS1</t>
  </si>
  <si>
    <t>PSCAD version</t>
  </si>
  <si>
    <t>5.0.1</t>
  </si>
  <si>
    <t>PSCAD version to use</t>
  </si>
  <si>
    <t>5.0.2</t>
  </si>
  <si>
    <t>WS_F4.pswx</t>
  </si>
  <si>
    <t>FLT_161_BB</t>
  </si>
  <si>
    <t>FLT_161_ONT2</t>
  </si>
  <si>
    <t>FLT_230_ONT2</t>
  </si>
  <si>
    <t>FLT_22_ONT2</t>
  </si>
  <si>
    <t>FLT_22_BB2</t>
  </si>
  <si>
    <t>FLT_230_OnSS2</t>
  </si>
  <si>
    <t>FLT_230_ONC2</t>
  </si>
  <si>
    <t>FLT_230_OFC2</t>
  </si>
  <si>
    <t>FLT_230_OFT2</t>
  </si>
  <si>
    <t>FLT_230_VSR2</t>
  </si>
  <si>
    <t>FLT_66_OFT2</t>
  </si>
  <si>
    <t>C25_S1_161POC</t>
  </si>
  <si>
    <t>C25_S1_161ONT2</t>
  </si>
  <si>
    <t>C25_S1_230ONT2</t>
  </si>
  <si>
    <t>C25_S1_22ONT2</t>
  </si>
  <si>
    <t>C25_S1_22BB2</t>
  </si>
  <si>
    <t>C25_S1_230ONC2</t>
  </si>
  <si>
    <t>C25_S1_230OFC2</t>
  </si>
  <si>
    <t>C25_S1_230OFT2</t>
  </si>
  <si>
    <t>C25_S1_230HF2</t>
  </si>
  <si>
    <t>C25_S1_230VSR2</t>
  </si>
  <si>
    <t>C25_S1_66T23</t>
  </si>
  <si>
    <t>C25_S1_66T29</t>
  </si>
  <si>
    <t>C25_S1_66WT29</t>
  </si>
  <si>
    <t>C22_S1_161BB</t>
  </si>
  <si>
    <t>C23_S1_161BB</t>
  </si>
  <si>
    <t>C25_S1_161BB</t>
  </si>
  <si>
    <t>C22_S1_230OnS2</t>
  </si>
  <si>
    <t>C23_S1_230OnS2</t>
  </si>
  <si>
    <t>C25_S1_230OnS2</t>
  </si>
  <si>
    <t>C22_S1_66OSS2</t>
  </si>
  <si>
    <t>C23_S1_66OSS2</t>
  </si>
  <si>
    <t>C25_S1_66OSS2</t>
  </si>
  <si>
    <t>FLT_66_OSS2</t>
  </si>
  <si>
    <t>C22N_S1_161POC</t>
  </si>
  <si>
    <t>C22N_S1_22BB2</t>
  </si>
  <si>
    <t>C22N_S1_230HF2</t>
  </si>
  <si>
    <t>C22N_S1_230VSR2</t>
  </si>
  <si>
    <t>C22N_S1_66OSS2</t>
  </si>
  <si>
    <t>C25N_S1_161POC</t>
  </si>
  <si>
    <t>C25N_S1_22BB2</t>
  </si>
  <si>
    <t>C25N_S1_230HF2</t>
  </si>
  <si>
    <t>C25N_S1_230VSR2</t>
  </si>
  <si>
    <t>C25N_S1_66OSS2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</si>
</sst>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
    <numFmt numFmtId="167" formatCode="0.0"/>
  </numFmts>
  <fonts count="20" x14ac:knownFonts="1">
    <font>
      <sz val="11"/>
      <color theme="1"/>
      <name val="Calibri"/>
      <family val="2"/>
      <scheme val="minor"/>
    </font>
    <font>
      <b/>
      <sz val="11"/>
      <color theme="1"/>
      <name val="Calibri"/>
      <family val="2"/>
      <scheme val="minor"/>
    </font>
    <font>
      <b/>
      <sz val="11"/>
      <color rgb="FF7030A0"/>
      <name val="Calibri"/>
      <family val="2"/>
      <scheme val="minor"/>
    </font>
    <font>
      <b/>
      <sz val="11"/>
      <color rgb="FFFF0000"/>
      <name val="Calibri"/>
      <family val="2"/>
      <scheme val="minor"/>
    </font>
    <font>
      <b/>
      <sz val="18"/>
      <color rgb="FFFF0000"/>
      <name val="Calibri"/>
      <family val="2"/>
      <scheme val="minor"/>
    </font>
    <font>
      <b/>
      <sz val="11"/>
      <color rgb="FF0070C0"/>
      <name val="Calibri"/>
      <family val="2"/>
      <scheme val="minor"/>
    </font>
    <font>
      <b/>
      <sz val="11"/>
      <color theme="0" tint="-0.499984740745262"/>
      <name val="Calibri"/>
      <family val="2"/>
      <scheme val="minor"/>
    </font>
    <font>
      <sz val="11"/>
      <color theme="0" tint="-0.34998626667073579"/>
      <name val="Calibri"/>
      <family val="2"/>
      <scheme val="minor"/>
    </font>
    <font>
      <sz val="8"/>
      <name val="Calibri"/>
      <family val="2"/>
      <scheme val="minor"/>
    </font>
    <font>
      <sz val="11"/>
      <color theme="0" tint="-0.499984740745262"/>
      <name val="Calibri"/>
      <family val="2"/>
      <scheme val="minor"/>
    </font>
    <font>
      <sz val="11"/>
      <color rgb="FFFF0000"/>
      <name val="Calibri"/>
      <family val="2"/>
      <scheme val="minor"/>
    </font>
    <font>
      <sz val="11"/>
      <color rgb="FF7030A0"/>
      <name val="Calibri"/>
      <family val="2"/>
      <scheme val="minor"/>
    </font>
    <font>
      <b/>
      <sz val="11"/>
      <color rgb="FF002060"/>
      <name val="Calibri"/>
      <family val="2"/>
      <scheme val="minor"/>
    </font>
    <font>
      <b/>
      <sz val="11"/>
      <name val="Calibri"/>
      <family val="2"/>
      <scheme val="minor"/>
    </font>
    <font>
      <b/>
      <sz val="9"/>
      <color rgb="FFFF0000"/>
      <name val="Calibri"/>
      <family val="2"/>
      <scheme val="minor"/>
    </font>
    <font>
      <sz val="9"/>
      <color theme="1"/>
      <name val="Calibri"/>
      <family val="2"/>
      <scheme val="minor"/>
    </font>
    <font>
      <b/>
      <sz val="9"/>
      <color rgb="FF7030A0"/>
      <name val="Calibri"/>
      <family val="2"/>
      <scheme val="minor"/>
    </font>
    <font>
      <sz val="9"/>
      <color rgb="FFFF0000"/>
      <name val="Calibri"/>
      <family val="2"/>
      <scheme val="minor"/>
    </font>
    <font>
      <sz val="9"/>
      <color theme="0"/>
      <name val="Calibri"/>
      <family val="2"/>
      <scheme val="minor"/>
    </font>
    <font>
      <b/>
      <sz val="9"/>
      <color theme="1"/>
      <name val="Calibri"/>
      <family val="2"/>
      <scheme val="minor"/>
    </font>
  </fonts>
  <fills count="22">
    <fill>
      <patternFill patternType="none"/>
    </fill>
    <fill>
      <patternFill patternType="gray125"/>
    </fill>
    <fill>
      <patternFill patternType="solid">
        <fgColor theme="0"/>
        <bgColor theme="0"/>
      </patternFill>
    </fill>
    <fill>
      <patternFill patternType="solid">
        <fgColor theme="0" tint="-0.14999847407452621"/>
        <bgColor theme="0"/>
      </patternFill>
    </fill>
    <fill>
      <patternFill patternType="solid">
        <fgColor indexed="65"/>
        <bgColor theme="0"/>
      </patternFill>
    </fill>
    <fill>
      <patternFill patternType="solid">
        <fgColor rgb="FFFFFF00"/>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59999389629810485"/>
        <bgColor theme="0"/>
      </patternFill>
    </fill>
    <fill>
      <patternFill patternType="solid">
        <fgColor theme="2" tint="-9.9978637043366805E-2"/>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9" tint="0.79998168889431442"/>
        <bgColor indexed="64"/>
      </patternFill>
    </fill>
    <fill>
      <patternFill patternType="solid">
        <fgColor theme="9" tint="0.79998168889431442"/>
        <bgColor theme="0"/>
      </patternFill>
    </fill>
    <fill>
      <patternFill patternType="solid">
        <fgColor theme="8" tint="0.79998168889431442"/>
        <bgColor indexed="64"/>
      </patternFill>
    </fill>
    <fill>
      <patternFill patternType="solid">
        <fgColor theme="8" tint="0.79998168889431442"/>
        <bgColor theme="0"/>
      </patternFill>
    </fill>
    <fill>
      <patternFill patternType="solid">
        <fgColor theme="5" tint="0.39997558519241921"/>
        <bgColor theme="0"/>
      </patternFill>
    </fill>
  </fills>
  <borders count="41">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s>
  <cellStyleXfs count="1">
    <xf numFmtId="0" fontId="0" fillId="0" borderId="0"/>
  </cellStyleXfs>
  <cellXfs count="200">
    <xf numFmtId="0" fontId="0" fillId="0" borderId="0" xfId="0"/>
    <xf numFmtId="0" fontId="0" fillId="2" borderId="0" xfId="0" applyFill="1"/>
    <xf numFmtId="0" fontId="7" fillId="2" borderId="0" xfId="0" applyFont="1" applyFill="1"/>
    <xf numFmtId="0" fontId="2" fillId="2" borderId="0" xfId="0" applyFont="1" applyFill="1" applyAlignment="1" applyProtection="1">
      <alignment horizontal="center" vertical="center" wrapText="1"/>
      <protection locked="0"/>
    </xf>
    <xf numFmtId="0" fontId="0" fillId="2" borderId="6" xfId="0" applyFill="1" applyBorder="1" applyAlignment="1">
      <alignment horizontal="center" vertical="center"/>
    </xf>
    <xf numFmtId="0" fontId="1" fillId="2" borderId="3"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2" borderId="6" xfId="0" quotePrefix="1" applyFill="1" applyBorder="1" applyAlignment="1" applyProtection="1">
      <alignment horizontal="center" vertical="center"/>
      <protection locked="0"/>
    </xf>
    <xf numFmtId="0" fontId="0" fillId="2" borderId="0" xfId="0" applyFill="1" applyAlignment="1" applyProtection="1">
      <alignment horizontal="left" vertical="center"/>
      <protection locked="0"/>
    </xf>
    <xf numFmtId="0" fontId="1" fillId="2" borderId="6" xfId="0" applyFont="1"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2" borderId="0" xfId="0"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center" vertical="center"/>
    </xf>
    <xf numFmtId="0" fontId="1" fillId="3" borderId="3" xfId="0" applyFont="1" applyFill="1" applyBorder="1" applyAlignment="1">
      <alignment horizontal="center" vertical="center"/>
    </xf>
    <xf numFmtId="0" fontId="9" fillId="2" borderId="6" xfId="0" applyFont="1" applyFill="1" applyBorder="1" applyAlignment="1">
      <alignment horizontal="center" vertical="center"/>
    </xf>
    <xf numFmtId="0" fontId="0" fillId="2" borderId="0" xfId="0" applyFill="1" applyAlignment="1" applyProtection="1">
      <alignment horizontal="center" vertical="center"/>
      <protection locked="0"/>
    </xf>
    <xf numFmtId="0" fontId="1" fillId="2" borderId="1" xfId="0" applyFont="1" applyFill="1" applyBorder="1" applyAlignment="1" applyProtection="1">
      <alignment horizontal="left" vertical="center"/>
      <protection locked="0"/>
    </xf>
    <xf numFmtId="0" fontId="1" fillId="2" borderId="0" xfId="0" applyFont="1" applyFill="1" applyAlignment="1" applyProtection="1">
      <alignment horizontal="left" vertical="center"/>
      <protection locked="0"/>
    </xf>
    <xf numFmtId="0" fontId="0" fillId="2" borderId="0" xfId="0" quotePrefix="1" applyFill="1" applyAlignment="1" applyProtection="1">
      <alignment horizontal="left" vertical="center"/>
      <protection locked="0"/>
    </xf>
    <xf numFmtId="0" fontId="2" fillId="2" borderId="0" xfId="0" applyFont="1" applyFill="1" applyAlignment="1" applyProtection="1">
      <alignment horizontal="left" vertical="center" wrapText="1"/>
      <protection locked="0"/>
    </xf>
    <xf numFmtId="0" fontId="0" fillId="2" borderId="9" xfId="0" quotePrefix="1" applyFill="1" applyBorder="1" applyAlignment="1" applyProtection="1">
      <alignment horizontal="center" vertical="center"/>
      <protection locked="0"/>
    </xf>
    <xf numFmtId="0" fontId="12" fillId="5" borderId="0" xfId="0" applyFont="1" applyFill="1" applyAlignment="1" applyProtection="1">
      <alignment horizontal="left" vertical="center"/>
      <protection locked="0"/>
    </xf>
    <xf numFmtId="0" fontId="9" fillId="2" borderId="0" xfId="0" applyFont="1" applyFill="1" applyAlignment="1">
      <alignment horizontal="center" vertical="center"/>
    </xf>
    <xf numFmtId="0" fontId="9" fillId="2" borderId="9" xfId="0" applyFont="1" applyFill="1" applyBorder="1" applyAlignment="1">
      <alignment horizontal="center" vertical="center"/>
    </xf>
    <xf numFmtId="0" fontId="1" fillId="3" borderId="2" xfId="0" applyFont="1"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10" fillId="2" borderId="7"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0" fillId="2" borderId="7" xfId="0" applyFill="1" applyBorder="1" applyAlignment="1" applyProtection="1">
      <alignment horizontal="center" vertical="center" wrapText="1"/>
      <protection locked="0"/>
    </xf>
    <xf numFmtId="0" fontId="0" fillId="2" borderId="10" xfId="0" applyFill="1" applyBorder="1" applyAlignment="1" applyProtection="1">
      <alignment horizontal="center" vertical="center" wrapText="1"/>
      <protection locked="0"/>
    </xf>
    <xf numFmtId="0" fontId="0" fillId="2" borderId="0" xfId="0" applyFill="1" applyAlignment="1" applyProtection="1">
      <alignment horizontal="left" vertical="center" wrapText="1"/>
      <protection locked="0"/>
    </xf>
    <xf numFmtId="0" fontId="1" fillId="2" borderId="1" xfId="0" applyFont="1" applyFill="1" applyBorder="1" applyAlignment="1" applyProtection="1">
      <alignment horizontal="left" vertical="center" wrapText="1"/>
      <protection locked="0"/>
    </xf>
    <xf numFmtId="0" fontId="0" fillId="2" borderId="9" xfId="0" quotePrefix="1" applyFill="1" applyBorder="1" applyAlignment="1" applyProtection="1">
      <alignment horizontal="center" vertical="center" wrapText="1"/>
      <protection locked="0"/>
    </xf>
    <xf numFmtId="0" fontId="1" fillId="3" borderId="4" xfId="0" applyFont="1" applyFill="1" applyBorder="1" applyAlignment="1" applyProtection="1">
      <alignment horizontal="center" vertical="center" wrapText="1"/>
      <protection locked="0"/>
    </xf>
    <xf numFmtId="0" fontId="0" fillId="2" borderId="0" xfId="0" applyFill="1" applyAlignment="1">
      <alignment horizontal="left" vertical="center" wrapText="1"/>
    </xf>
    <xf numFmtId="0" fontId="1" fillId="3" borderId="4" xfId="0" applyFont="1" applyFill="1" applyBorder="1" applyAlignment="1">
      <alignment horizontal="center" vertical="center" wrapText="1"/>
    </xf>
    <xf numFmtId="0" fontId="0" fillId="2" borderId="7" xfId="0"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0" fontId="0" fillId="2" borderId="0" xfId="0" applyFill="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5" fillId="2" borderId="6" xfId="0" applyFont="1" applyFill="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5" fillId="2" borderId="0" xfId="0" applyFont="1" applyFill="1" applyAlignment="1" applyProtection="1">
      <alignment horizontal="left" vertical="center" wrapText="1"/>
      <protection locked="0"/>
    </xf>
    <xf numFmtId="0" fontId="1" fillId="2" borderId="6" xfId="0" applyFont="1" applyFill="1" applyBorder="1" applyAlignment="1" applyProtection="1">
      <alignment horizontal="center" vertical="center" wrapText="1"/>
      <protection locked="0"/>
    </xf>
    <xf numFmtId="0" fontId="6" fillId="2" borderId="6" xfId="0" applyFont="1" applyFill="1" applyBorder="1" applyAlignment="1">
      <alignment horizontal="center" vertical="center" wrapText="1"/>
    </xf>
    <xf numFmtId="0" fontId="13" fillId="2" borderId="6"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center" vertical="center" wrapText="1"/>
      <protection locked="0"/>
    </xf>
    <xf numFmtId="0" fontId="1" fillId="3"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center" vertical="center" wrapText="1"/>
    </xf>
    <xf numFmtId="164" fontId="0" fillId="2" borderId="0" xfId="0" applyNumberFormat="1" applyFill="1" applyAlignment="1" applyProtection="1">
      <alignment horizontal="center" vertical="center" wrapText="1"/>
      <protection locked="0"/>
    </xf>
    <xf numFmtId="164" fontId="1" fillId="2" borderId="6" xfId="0" applyNumberFormat="1" applyFont="1" applyFill="1" applyBorder="1" applyAlignment="1" applyProtection="1">
      <alignment horizontal="center" vertical="center" wrapText="1"/>
      <protection locked="0"/>
    </xf>
    <xf numFmtId="164" fontId="1" fillId="2" borderId="9" xfId="0" applyNumberFormat="1" applyFont="1" applyFill="1" applyBorder="1" applyAlignment="1" applyProtection="1">
      <alignment horizontal="center" vertical="center" wrapText="1"/>
      <protection locked="0"/>
    </xf>
    <xf numFmtId="166" fontId="1" fillId="2" borderId="6" xfId="0" applyNumberFormat="1" applyFont="1" applyFill="1" applyBorder="1" applyAlignment="1" applyProtection="1">
      <alignment horizontal="center" vertical="center" wrapText="1"/>
      <protection locked="0"/>
    </xf>
    <xf numFmtId="166" fontId="13" fillId="2" borderId="6" xfId="0" applyNumberFormat="1" applyFont="1" applyFill="1" applyBorder="1" applyAlignment="1" applyProtection="1">
      <alignment horizontal="center" vertical="center" wrapText="1"/>
      <protection locked="0"/>
    </xf>
    <xf numFmtId="165" fontId="1" fillId="2" borderId="6" xfId="0" applyNumberFormat="1" applyFont="1" applyFill="1" applyBorder="1" applyAlignment="1" applyProtection="1">
      <alignment horizontal="center" vertical="center" wrapText="1"/>
      <protection locked="0"/>
    </xf>
    <xf numFmtId="0" fontId="14" fillId="4" borderId="0" xfId="0" applyFont="1" applyFill="1" applyAlignment="1">
      <alignment horizontal="center" vertical="center"/>
    </xf>
    <xf numFmtId="0" fontId="15" fillId="4" borderId="0" xfId="0" applyFont="1" applyFill="1" applyAlignment="1">
      <alignment horizontal="center" vertical="center"/>
    </xf>
    <xf numFmtId="0" fontId="15" fillId="2" borderId="0" xfId="0" applyFont="1" applyFill="1" applyAlignment="1">
      <alignment horizontal="center" vertical="center"/>
    </xf>
    <xf numFmtId="0" fontId="15" fillId="4" borderId="2" xfId="0" applyFont="1" applyFill="1" applyBorder="1" applyAlignment="1">
      <alignment horizontal="center" vertical="center"/>
    </xf>
    <xf numFmtId="0" fontId="15" fillId="4" borderId="8" xfId="0" applyFont="1" applyFill="1" applyBorder="1" applyAlignment="1">
      <alignment horizontal="center" vertical="center"/>
    </xf>
    <xf numFmtId="0" fontId="16" fillId="2" borderId="0" xfId="0" applyFont="1" applyFill="1" applyAlignment="1">
      <alignment horizontal="center" vertical="center"/>
    </xf>
    <xf numFmtId="0" fontId="15" fillId="2" borderId="6"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0"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20"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9" xfId="0" applyFont="1" applyFill="1" applyBorder="1" applyAlignment="1">
      <alignment horizontal="center" vertical="center"/>
    </xf>
    <xf numFmtId="0" fontId="14" fillId="4" borderId="14" xfId="0" applyFont="1" applyFill="1" applyBorder="1" applyAlignment="1">
      <alignment horizontal="center" vertical="center"/>
    </xf>
    <xf numFmtId="0" fontId="15" fillId="3" borderId="19" xfId="0" applyFont="1" applyFill="1" applyBorder="1" applyAlignment="1">
      <alignment horizontal="center" vertical="center"/>
    </xf>
    <xf numFmtId="0" fontId="15" fillId="4" borderId="5" xfId="0" applyFont="1" applyFill="1" applyBorder="1" applyAlignment="1">
      <alignment horizontal="center" vertical="center"/>
    </xf>
    <xf numFmtId="0" fontId="19" fillId="3" borderId="19" xfId="0" applyFont="1" applyFill="1" applyBorder="1" applyAlignment="1">
      <alignment horizontal="center" vertical="center"/>
    </xf>
    <xf numFmtId="0" fontId="19" fillId="9" borderId="5" xfId="0" applyFont="1" applyFill="1" applyBorder="1" applyAlignment="1">
      <alignment horizontal="center" vertical="center"/>
    </xf>
    <xf numFmtId="0" fontId="19" fillId="10" borderId="5" xfId="0" applyFont="1" applyFill="1" applyBorder="1" applyAlignment="1">
      <alignment horizontal="center" vertical="center"/>
    </xf>
    <xf numFmtId="0" fontId="19" fillId="12" borderId="5" xfId="0" applyFont="1" applyFill="1" applyBorder="1" applyAlignment="1">
      <alignment horizontal="center" vertical="center"/>
    </xf>
    <xf numFmtId="0" fontId="15" fillId="0" borderId="2" xfId="0" applyFont="1" applyBorder="1" applyAlignment="1">
      <alignment horizontal="center" vertical="center"/>
    </xf>
    <xf numFmtId="0" fontId="15" fillId="0" borderId="5" xfId="0" applyFont="1" applyBorder="1" applyAlignment="1">
      <alignment horizontal="center" vertical="center"/>
    </xf>
    <xf numFmtId="0" fontId="15" fillId="0" borderId="8" xfId="0" applyFont="1" applyBorder="1" applyAlignment="1">
      <alignment horizontal="center" vertical="center"/>
    </xf>
    <xf numFmtId="0" fontId="15" fillId="4" borderId="27" xfId="0" applyFont="1" applyFill="1" applyBorder="1" applyAlignment="1">
      <alignment horizontal="center" vertical="center"/>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164" fontId="15" fillId="0" borderId="2" xfId="0" applyNumberFormat="1" applyFont="1" applyBorder="1" applyAlignment="1">
      <alignment horizontal="center" vertical="center"/>
    </xf>
    <xf numFmtId="164" fontId="15" fillId="0" borderId="5" xfId="0" applyNumberFormat="1" applyFont="1" applyBorder="1" applyAlignment="1">
      <alignment horizontal="center" vertical="center"/>
    </xf>
    <xf numFmtId="164" fontId="15" fillId="0" borderId="8" xfId="0" applyNumberFormat="1" applyFont="1" applyBorder="1" applyAlignment="1">
      <alignment horizontal="center" vertical="center"/>
    </xf>
    <xf numFmtId="0" fontId="18" fillId="15" borderId="27" xfId="0" applyFont="1" applyFill="1" applyBorder="1" applyAlignment="1">
      <alignment horizontal="center" vertical="center"/>
    </xf>
    <xf numFmtId="0" fontId="18" fillId="16" borderId="24" xfId="0" applyFont="1" applyFill="1" applyBorder="1" applyAlignment="1">
      <alignment horizontal="center" vertical="center"/>
    </xf>
    <xf numFmtId="0" fontId="18" fillId="16" borderId="25" xfId="0" applyFont="1" applyFill="1" applyBorder="1" applyAlignment="1">
      <alignment horizontal="center" vertical="center"/>
    </xf>
    <xf numFmtId="0" fontId="15" fillId="14" borderId="5" xfId="0" applyFont="1" applyFill="1" applyBorder="1" applyAlignment="1">
      <alignment horizontal="center" vertical="center"/>
    </xf>
    <xf numFmtId="0" fontId="15" fillId="14" borderId="8" xfId="0" applyFont="1" applyFill="1" applyBorder="1" applyAlignment="1">
      <alignment horizontal="center" vertical="center"/>
    </xf>
    <xf numFmtId="0" fontId="19" fillId="3" borderId="29" xfId="0" applyFont="1" applyFill="1" applyBorder="1" applyAlignment="1">
      <alignment horizontal="center" vertical="center"/>
    </xf>
    <xf numFmtId="0" fontId="19" fillId="6" borderId="24" xfId="0" applyFont="1" applyFill="1" applyBorder="1" applyAlignment="1">
      <alignment horizontal="center" vertical="center"/>
    </xf>
    <xf numFmtId="0" fontId="19" fillId="3" borderId="24" xfId="0" applyFont="1" applyFill="1" applyBorder="1" applyAlignment="1">
      <alignment horizontal="center" vertical="center"/>
    </xf>
    <xf numFmtId="0" fontId="19" fillId="13" borderId="24" xfId="0" applyFont="1" applyFill="1" applyBorder="1" applyAlignment="1">
      <alignment horizontal="center" vertical="center"/>
    </xf>
    <xf numFmtId="0" fontId="15" fillId="4" borderId="18" xfId="0" applyFont="1" applyFill="1" applyBorder="1" applyAlignment="1">
      <alignment horizontal="center" vertical="center"/>
    </xf>
    <xf numFmtId="0" fontId="15" fillId="2" borderId="8" xfId="0" applyFont="1" applyFill="1" applyBorder="1" applyAlignment="1">
      <alignment horizontal="center" vertical="center"/>
    </xf>
    <xf numFmtId="0" fontId="15" fillId="3" borderId="29" xfId="0" applyFont="1" applyFill="1" applyBorder="1" applyAlignment="1">
      <alignment horizontal="center" vertical="center"/>
    </xf>
    <xf numFmtId="0" fontId="15" fillId="2" borderId="25" xfId="0" applyFont="1" applyFill="1" applyBorder="1" applyAlignment="1">
      <alignment horizontal="center" vertical="center"/>
    </xf>
    <xf numFmtId="0" fontId="19" fillId="10" borderId="2" xfId="0" applyFont="1" applyFill="1" applyBorder="1" applyAlignment="1">
      <alignment horizontal="center" vertical="center"/>
    </xf>
    <xf numFmtId="0" fontId="19" fillId="3" borderId="27" xfId="0" applyFont="1" applyFill="1" applyBorder="1" applyAlignment="1">
      <alignment horizontal="center" vertical="center"/>
    </xf>
    <xf numFmtId="0" fontId="19" fillId="10" borderId="8" xfId="0" applyFont="1" applyFill="1" applyBorder="1" applyAlignment="1">
      <alignment horizontal="center" vertical="center"/>
    </xf>
    <xf numFmtId="0" fontId="19" fillId="3" borderId="25" xfId="0" applyFont="1" applyFill="1" applyBorder="1" applyAlignment="1">
      <alignment horizontal="center" vertical="center"/>
    </xf>
    <xf numFmtId="0" fontId="19" fillId="12" borderId="2" xfId="0" applyFont="1" applyFill="1" applyBorder="1" applyAlignment="1">
      <alignment horizontal="center" vertical="center"/>
    </xf>
    <xf numFmtId="0" fontId="19" fillId="13" borderId="27" xfId="0" applyFont="1" applyFill="1" applyBorder="1" applyAlignment="1">
      <alignment horizontal="center" vertical="center"/>
    </xf>
    <xf numFmtId="0" fontId="19" fillId="12" borderId="8" xfId="0" applyFont="1" applyFill="1" applyBorder="1" applyAlignment="1">
      <alignment horizontal="center" vertical="center"/>
    </xf>
    <xf numFmtId="0" fontId="19" fillId="13" borderId="25" xfId="0" applyFont="1" applyFill="1" applyBorder="1" applyAlignment="1">
      <alignment horizontal="center" vertical="center"/>
    </xf>
    <xf numFmtId="0" fontId="19" fillId="8" borderId="2" xfId="0" applyFont="1" applyFill="1" applyBorder="1" applyAlignment="1">
      <alignment horizontal="center" vertical="center"/>
    </xf>
    <xf numFmtId="0" fontId="19" fillId="7" borderId="27" xfId="0" applyFont="1" applyFill="1" applyBorder="1" applyAlignment="1">
      <alignment horizontal="center" vertical="center"/>
    </xf>
    <xf numFmtId="0" fontId="19" fillId="8" borderId="30" xfId="0" applyFont="1" applyFill="1" applyBorder="1" applyAlignment="1">
      <alignment horizontal="center" vertical="center"/>
    </xf>
    <xf numFmtId="0" fontId="19" fillId="7" borderId="31" xfId="0" applyFont="1" applyFill="1" applyBorder="1" applyAlignment="1">
      <alignment horizontal="center" vertical="center"/>
    </xf>
    <xf numFmtId="2" fontId="15" fillId="11" borderId="2" xfId="0" applyNumberFormat="1" applyFont="1" applyFill="1" applyBorder="1" applyAlignment="1">
      <alignment horizontal="center" vertical="center"/>
    </xf>
    <xf numFmtId="0" fontId="19" fillId="19" borderId="32" xfId="0" applyFont="1" applyFill="1" applyBorder="1" applyAlignment="1">
      <alignment horizontal="center" vertical="center"/>
    </xf>
    <xf numFmtId="0" fontId="19" fillId="20" borderId="33" xfId="0" applyFont="1" applyFill="1" applyBorder="1" applyAlignment="1">
      <alignment horizontal="center" vertical="center"/>
    </xf>
    <xf numFmtId="0" fontId="19" fillId="19" borderId="5" xfId="0" applyFont="1" applyFill="1" applyBorder="1" applyAlignment="1">
      <alignment horizontal="center" vertical="center"/>
    </xf>
    <xf numFmtId="0" fontId="19" fillId="20" borderId="24"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34" xfId="0" applyFont="1" applyFill="1" applyBorder="1" applyAlignment="1">
      <alignment horizontal="center" vertical="center"/>
    </xf>
    <xf numFmtId="0" fontId="19" fillId="17" borderId="5" xfId="0" applyFont="1" applyFill="1" applyBorder="1" applyAlignment="1">
      <alignment horizontal="center" vertical="center"/>
    </xf>
    <xf numFmtId="0" fontId="19" fillId="17" borderId="8" xfId="0" applyFont="1" applyFill="1" applyBorder="1" applyAlignment="1">
      <alignment horizontal="center" vertical="center"/>
    </xf>
    <xf numFmtId="0" fontId="19" fillId="17" borderId="2" xfId="0" applyFont="1" applyFill="1" applyBorder="1" applyAlignment="1">
      <alignment horizontal="center" vertical="center"/>
    </xf>
    <xf numFmtId="0" fontId="19" fillId="18" borderId="27" xfId="0" applyFont="1" applyFill="1" applyBorder="1" applyAlignment="1">
      <alignment horizontal="center" vertical="center"/>
    </xf>
    <xf numFmtId="0" fontId="19" fillId="18" borderId="24" xfId="0" applyFont="1" applyFill="1" applyBorder="1" applyAlignment="1">
      <alignment horizontal="center" vertical="center"/>
    </xf>
    <xf numFmtId="0" fontId="19" fillId="18" borderId="25" xfId="0" applyFont="1" applyFill="1" applyBorder="1" applyAlignment="1">
      <alignment horizontal="center" vertical="center"/>
    </xf>
    <xf numFmtId="0" fontId="19" fillId="3" borderId="11" xfId="0" applyFont="1" applyFill="1" applyBorder="1" applyAlignment="1">
      <alignment horizontal="center" vertical="center"/>
    </xf>
    <xf numFmtId="0" fontId="15" fillId="4" borderId="16" xfId="0" applyFont="1" applyFill="1" applyBorder="1" applyAlignment="1">
      <alignment horizontal="center" vertical="center"/>
    </xf>
    <xf numFmtId="0" fontId="15" fillId="4" borderId="17" xfId="0" applyFont="1" applyFill="1" applyBorder="1" applyAlignment="1">
      <alignment horizontal="center" vertical="center"/>
    </xf>
    <xf numFmtId="0" fontId="19" fillId="3" borderId="14" xfId="0" applyFont="1" applyFill="1" applyBorder="1" applyAlignment="1">
      <alignment horizontal="center" vertical="center"/>
    </xf>
    <xf numFmtId="0" fontId="15" fillId="4" borderId="35" xfId="0" applyFont="1" applyFill="1" applyBorder="1" applyAlignment="1">
      <alignment horizontal="center" vertical="center"/>
    </xf>
    <xf numFmtId="0" fontId="15" fillId="4" borderId="36" xfId="0" applyFont="1" applyFill="1" applyBorder="1" applyAlignment="1">
      <alignment horizontal="center" vertical="center"/>
    </xf>
    <xf numFmtId="0" fontId="15" fillId="4" borderId="37" xfId="0" applyFont="1" applyFill="1" applyBorder="1" applyAlignment="1">
      <alignment horizontal="center" vertical="center"/>
    </xf>
    <xf numFmtId="0" fontId="15" fillId="4" borderId="38" xfId="0" applyFont="1" applyFill="1" applyBorder="1" applyAlignment="1">
      <alignment horizontal="center" vertical="center"/>
    </xf>
    <xf numFmtId="0" fontId="15" fillId="4" borderId="39" xfId="0" applyFont="1" applyFill="1" applyBorder="1" applyAlignment="1">
      <alignment horizontal="center" vertical="center"/>
    </xf>
    <xf numFmtId="0" fontId="15" fillId="21" borderId="0" xfId="0" applyFont="1" applyFill="1" applyAlignment="1">
      <alignment horizontal="center" vertical="center"/>
    </xf>
    <xf numFmtId="0" fontId="1" fillId="0" borderId="6" xfId="0" applyFont="1" applyBorder="1" applyAlignment="1" applyProtection="1">
      <alignment horizontal="center" vertical="center" wrapText="1"/>
      <protection locked="0"/>
    </xf>
    <xf numFmtId="0" fontId="15" fillId="4" borderId="22" xfId="0" applyFont="1" applyFill="1" applyBorder="1" applyAlignment="1">
      <alignment horizontal="center" vertical="center"/>
    </xf>
    <xf numFmtId="0" fontId="15" fillId="4" borderId="23" xfId="0" applyFont="1" applyFill="1" applyBorder="1" applyAlignment="1">
      <alignment horizontal="center" vertical="center"/>
    </xf>
    <xf numFmtId="0" fontId="15" fillId="4" borderId="26" xfId="0" applyFont="1" applyFill="1" applyBorder="1" applyAlignment="1">
      <alignment horizontal="center" vertical="center"/>
    </xf>
    <xf numFmtId="0" fontId="15" fillId="4" borderId="13" xfId="0" applyFont="1" applyFill="1" applyBorder="1" applyAlignment="1">
      <alignment horizontal="center" vertical="center"/>
    </xf>
    <xf numFmtId="0" fontId="15" fillId="2" borderId="16" xfId="0" applyFont="1" applyFill="1" applyBorder="1" applyAlignment="1">
      <alignment horizontal="center" vertical="center"/>
    </xf>
    <xf numFmtId="0" fontId="15" fillId="2" borderId="17" xfId="0" applyFont="1" applyFill="1" applyBorder="1" applyAlignment="1">
      <alignment horizontal="center" vertical="center"/>
    </xf>
    <xf numFmtId="0" fontId="15" fillId="2" borderId="15" xfId="0" applyFont="1" applyFill="1" applyBorder="1" applyAlignment="1">
      <alignment horizontal="center" vertical="center"/>
    </xf>
    <xf numFmtId="0" fontId="15" fillId="4" borderId="40" xfId="0" applyFont="1" applyFill="1" applyBorder="1" applyAlignment="1">
      <alignment horizontal="center" vertical="center"/>
    </xf>
    <xf numFmtId="164" fontId="0" fillId="2" borderId="0" xfId="0" applyNumberFormat="1" applyFill="1" applyAlignment="1" applyProtection="1">
      <alignment horizontal="center" vertical="center"/>
      <protection locked="0"/>
    </xf>
    <xf numFmtId="164" fontId="0" fillId="2" borderId="0" xfId="0" applyNumberFormat="1" applyFill="1" applyAlignment="1" applyProtection="1">
      <alignment horizontal="left" vertical="center"/>
      <protection locked="0"/>
    </xf>
    <xf numFmtId="167" fontId="15" fillId="2" borderId="0" xfId="0" applyNumberFormat="1" applyFont="1" applyFill="1" applyAlignment="1">
      <alignment horizontal="center" vertical="center"/>
    </xf>
    <xf numFmtId="1" fontId="15" fillId="2" borderId="0" xfId="0" applyNumberFormat="1" applyFont="1" applyFill="1" applyAlignment="1">
      <alignment horizontal="center" vertical="center"/>
    </xf>
    <xf numFmtId="0" fontId="15" fillId="7" borderId="2" xfId="0" applyFont="1" applyFill="1" applyBorder="1" applyAlignment="1">
      <alignment horizontal="center" vertical="center"/>
    </xf>
    <xf numFmtId="0" fontId="15" fillId="7" borderId="3" xfId="0" applyFont="1" applyFill="1" applyBorder="1" applyAlignment="1">
      <alignment horizontal="center" vertical="center"/>
    </xf>
    <xf numFmtId="0" fontId="15" fillId="7" borderId="5"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9" xfId="0" applyFont="1" applyFill="1" applyBorder="1" applyAlignment="1">
      <alignment horizontal="center" vertical="center"/>
    </xf>
    <xf numFmtId="0" fontId="15" fillId="13" borderId="2" xfId="0" applyFont="1" applyFill="1" applyBorder="1" applyAlignment="1">
      <alignment horizontal="center" vertical="center"/>
    </xf>
    <xf numFmtId="0" fontId="15" fillId="13" borderId="3" xfId="0" applyFont="1" applyFill="1" applyBorder="1" applyAlignment="1">
      <alignment horizontal="center" vertical="center"/>
    </xf>
    <xf numFmtId="0" fontId="15" fillId="13" borderId="5" xfId="0" applyFont="1" applyFill="1" applyBorder="1" applyAlignment="1">
      <alignment horizontal="center" vertical="center"/>
    </xf>
    <xf numFmtId="0" fontId="15" fillId="13" borderId="6" xfId="0" applyFont="1" applyFill="1" applyBorder="1" applyAlignment="1">
      <alignment horizontal="center" vertical="center"/>
    </xf>
    <xf numFmtId="0" fontId="15" fillId="13" borderId="8" xfId="0" applyFont="1" applyFill="1" applyBorder="1" applyAlignment="1">
      <alignment horizontal="center" vertical="center"/>
    </xf>
    <xf numFmtId="0" fontId="15" fillId="13" borderId="9"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9"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xf numFmtId="0" fontId="15" fillId="6" borderId="5" xfId="0" applyFont="1" applyFill="1" applyBorder="1" applyAlignment="1">
      <alignment horizontal="center" vertical="center"/>
    </xf>
    <xf numFmtId="0" fontId="15" fillId="6" borderId="6" xfId="0" applyFont="1" applyFill="1" applyBorder="1" applyAlignment="1">
      <alignment horizontal="center" vertical="center"/>
    </xf>
    <xf numFmtId="0" fontId="15" fillId="6" borderId="8" xfId="0" applyFont="1" applyFill="1" applyBorder="1" applyAlignment="1">
      <alignment horizontal="center" vertical="center"/>
    </xf>
    <xf numFmtId="0" fontId="15" fillId="6" borderId="9" xfId="0" applyFont="1" applyFill="1" applyBorder="1" applyAlignment="1">
      <alignment horizontal="center" vertical="center"/>
    </xf>
    <xf numFmtId="0" fontId="14" fillId="2" borderId="18" xfId="0" applyFont="1" applyFill="1" applyBorder="1" applyAlignment="1">
      <alignment horizontal="center" vertical="center"/>
    </xf>
    <xf numFmtId="0" fontId="4" fillId="2" borderId="0" xfId="0" applyFont="1" applyFill="1" applyAlignment="1">
      <alignment horizontal="center"/>
    </xf>
    <xf numFmtId="0" fontId="2" fillId="2" borderId="11" xfId="0" applyFont="1" applyFill="1" applyBorder="1" applyAlignment="1" applyProtection="1">
      <alignment horizontal="center" vertical="center" wrapText="1"/>
      <protection locked="0"/>
    </xf>
    <xf numFmtId="0" fontId="2" fillId="2" borderId="12" xfId="0" applyFont="1" applyFill="1" applyBorder="1" applyAlignment="1" applyProtection="1">
      <alignment horizontal="center" vertical="center" wrapText="1"/>
      <protection locked="0"/>
    </xf>
    <xf numFmtId="0" fontId="2" fillId="2" borderId="13" xfId="0" applyFont="1" applyFill="1" applyBorder="1" applyAlignment="1" applyProtection="1">
      <alignment horizontal="center" vertical="center" wrapText="1"/>
      <protection locked="0"/>
    </xf>
    <xf numFmtId="0" fontId="2" fillId="2" borderId="15" xfId="0" applyFont="1" applyFill="1" applyBorder="1" applyAlignment="1" applyProtection="1">
      <alignment horizontal="center" vertical="center" wrapText="1"/>
      <protection locked="0"/>
    </xf>
    <xf numFmtId="0" fontId="2" fillId="2" borderId="28" xfId="0" applyFont="1" applyFill="1" applyBorder="1" applyAlignment="1" applyProtection="1">
      <alignment horizontal="center" vertical="center" wrapText="1"/>
      <protection locked="0"/>
    </xf>
    <xf numFmtId="0" fontId="2" fillId="2" borderId="16" xfId="0" applyFont="1" applyFill="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protection locked="0"/>
    </xf>
    <xf numFmtId="0" fontId="1" fillId="2" borderId="27"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0" fillId="2" borderId="24" xfId="0" quotePrefix="1" applyFill="1" applyBorder="1" applyAlignment="1" applyProtection="1">
      <alignment horizontal="center" vertical="center"/>
      <protection locked="0"/>
    </xf>
    <xf numFmtId="0" fontId="0" fillId="2" borderId="23" xfId="0" quotePrefix="1" applyFill="1" applyBorder="1" applyAlignment="1" applyProtection="1">
      <alignment horizontal="center" vertical="center"/>
      <protection locked="0"/>
    </xf>
    <xf numFmtId="0" fontId="0" fillId="2" borderId="25" xfId="0" quotePrefix="1" applyFill="1" applyBorder="1" applyAlignment="1" applyProtection="1">
      <alignment horizontal="center" vertical="center"/>
      <protection locked="0"/>
    </xf>
    <xf numFmtId="0" fontId="0" fillId="2" borderId="26" xfId="0" quotePrefix="1" applyFill="1" applyBorder="1" applyAlignment="1" applyProtection="1">
      <alignment horizontal="center" vertical="center"/>
      <protection locked="0"/>
    </xf>
  </cellXfs>
  <cellStyles count="1">
    <cellStyle name="Normal" xfId="0" builtinId="0"/>
  </cellStyles>
  <dxfs count="45">
    <dxf>
      <font>
        <color rgb="FF9C0006"/>
      </font>
      <fill>
        <patternFill>
          <bgColor rgb="FFFFC7CE"/>
        </patternFill>
      </fill>
    </dxf>
    <dxf>
      <font>
        <color rgb="FF006100"/>
      </font>
      <fill>
        <patternFill>
          <bgColor rgb="FFC6EFCE"/>
        </patternFill>
      </fill>
    </dxf>
    <dxf>
      <font>
        <color theme="5" tint="-0.24994659260841701"/>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5" tint="-0.24994659260841701"/>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rgb="FF9C0006"/>
      </font>
      <fill>
        <patternFill>
          <bgColor rgb="FFFFC7CE"/>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rgb="FF9C0006"/>
      </font>
      <fill>
        <patternFill>
          <bgColor rgb="FFFFC7CE"/>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ill>
        <patternFill>
          <bgColor rgb="FFFFC7CE"/>
        </patternFill>
      </fill>
    </dxf>
    <dxf>
      <font>
        <color rgb="FF006100"/>
      </font>
      <fill>
        <patternFill>
          <bgColor rgb="FFC6EFCE"/>
        </patternFill>
      </fill>
    </dxf>
    <dxf>
      <font>
        <b val="0"/>
        <i val="0"/>
        <color theme="0"/>
      </font>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ejandro Minero" id="{4C43D0FA-0471-49D0-B3F7-260F17C8CF5E}" userId="Alejandro Minero" providerId="None"/>
  <person displayName="BigPC_User_06-10" id="{7645D3E2-61A7-47EE-86C2-98326119EDAB}" userId="S::BigPC_User_06-10@moellerpoeller.co.uk::2acf002a-486b-4190-99ba-8d2d243fd4e7" providerId="AD"/>
</personList>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4" dT="2023-11-16T11:43:27.65" personId="{7645D3E2-61A7-47EE-86C2-98326119EDAB}" id="{C698EBFC-7F1A-4130-AB51-CF516D73A2FC}">
    <text>R+</text>
  </threadedComment>
  <threadedComment ref="B35" dT="2023-11-16T11:43:36.49" personId="{7645D3E2-61A7-47EE-86C2-98326119EDAB}" id="{4400D75F-EDF9-46DC-9CA6-FE72702B4A7E}">
    <text>X+</text>
  </threadedComment>
  <threadedComment ref="B36" dT="2023-11-16T11:43:43.08" personId="{7645D3E2-61A7-47EE-86C2-98326119EDAB}" id="{5DDB25AA-F796-4E33-AA2B-98014D1C8B39}">
    <text>R0</text>
  </threadedComment>
  <threadedComment ref="B37" dT="2023-11-16T11:43:49.23" personId="{7645D3E2-61A7-47EE-86C2-98326119EDAB}" id="{514D3AF3-D319-43D7-A9E2-567BA67814A2}">
    <text>X0</text>
  </threadedComment>
</ThreadedComments>
</file>

<file path=xl/threadedComments/threadedComment2.xml><?xml version="1.0" encoding="utf-8"?>
<ThreadedComments xmlns="http://schemas.microsoft.com/office/spreadsheetml/2018/threadedcomments" xmlns:x="http://schemas.openxmlformats.org/spreadsheetml/2006/main">
  <threadedComment ref="F7" dT="2024-11-13T14:18:00.03" personId="{4C43D0FA-0471-49D0-B3F7-260F17C8CF5E}" id="{BCA55330-0DA1-45F0-9C6B-C07494C29A54}">
    <text>Calculated with FP</text>
  </threadedComment>
  <threadedComment ref="F25" dT="2024-11-13T14:18:29.42" personId="{4C43D0FA-0471-49D0-B3F7-260F17C8CF5E}" id="{7A24FDEC-76DA-4356-B821-EAB04EA6FDAF}">
    <text>Calculated with FP</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BA96-B48C-4730-9E40-84AEA0E60810}">
  <dimension ref="A1:L31"/>
  <sheetViews>
    <sheetView workbookViewId="0">
      <selection activeCell="A19" sqref="A19:A20"/>
    </sheetView>
  </sheetViews>
  <sheetFormatPr defaultColWidth="8.73046875" defaultRowHeight="14.25" x14ac:dyDescent="0.45"/>
  <cols>
    <col min="1" max="1" width="24.3984375" style="2" customWidth="1"/>
    <col min="2" max="16384" width="8.73046875" style="1"/>
  </cols>
  <sheetData>
    <row r="1" spans="1:12" ht="23.25" x14ac:dyDescent="0.7">
      <c r="B1" s="186" t="s">
        <v>16</v>
      </c>
      <c r="C1" s="186"/>
      <c r="D1" s="186"/>
      <c r="E1" s="186"/>
      <c r="F1" s="186"/>
      <c r="G1" s="186"/>
      <c r="H1" s="186"/>
      <c r="I1" s="186"/>
      <c r="J1" s="186"/>
      <c r="K1" s="186"/>
      <c r="L1" s="186"/>
    </row>
    <row r="2" spans="1:12" x14ac:dyDescent="0.45">
      <c r="A2" s="2" t="s">
        <v>92</v>
      </c>
    </row>
    <row r="3" spans="1:12" x14ac:dyDescent="0.45">
      <c r="A3" s="2" t="s">
        <v>93</v>
      </c>
    </row>
    <row r="4" spans="1:12" x14ac:dyDescent="0.45">
      <c r="A4" s="2" t="s">
        <v>94</v>
      </c>
    </row>
    <row r="5" spans="1:12" x14ac:dyDescent="0.45">
      <c r="A5" s="2" t="s">
        <v>99</v>
      </c>
    </row>
    <row r="8" spans="1:12" x14ac:dyDescent="0.45">
      <c r="A8" s="2" t="s">
        <v>112</v>
      </c>
    </row>
    <row r="9" spans="1:12" x14ac:dyDescent="0.45">
      <c r="A9" s="2" t="s">
        <v>141</v>
      </c>
    </row>
    <row r="10" spans="1:12" x14ac:dyDescent="0.45">
      <c r="A10" s="2" t="s">
        <v>142</v>
      </c>
    </row>
    <row r="11" spans="1:12" x14ac:dyDescent="0.45">
      <c r="A11" s="2" t="s">
        <v>144</v>
      </c>
    </row>
    <row r="14" spans="1:12" x14ac:dyDescent="0.45">
      <c r="A14" s="2" t="s">
        <v>45</v>
      </c>
    </row>
    <row r="15" spans="1:12" x14ac:dyDescent="0.45">
      <c r="A15" s="2" t="s">
        <v>46</v>
      </c>
    </row>
    <row r="19" spans="1:1" x14ac:dyDescent="0.45">
      <c r="A19" s="2" t="s">
        <v>282</v>
      </c>
    </row>
    <row r="20" spans="1:1" x14ac:dyDescent="0.45">
      <c r="A20" s="2" t="s">
        <v>284</v>
      </c>
    </row>
    <row r="26" spans="1:1" x14ac:dyDescent="0.45">
      <c r="A26" s="2" t="s">
        <v>52</v>
      </c>
    </row>
    <row r="27" spans="1:1" x14ac:dyDescent="0.45">
      <c r="A27" s="2" t="s">
        <v>53</v>
      </c>
    </row>
    <row r="28" spans="1:1" x14ac:dyDescent="0.45">
      <c r="A28" s="2" t="s">
        <v>54</v>
      </c>
    </row>
    <row r="29" spans="1:1" x14ac:dyDescent="0.45">
      <c r="A29" s="2" t="s">
        <v>55</v>
      </c>
    </row>
    <row r="30" spans="1:1" x14ac:dyDescent="0.45">
      <c r="A30" s="2" t="s">
        <v>56</v>
      </c>
    </row>
    <row r="31" spans="1:1" x14ac:dyDescent="0.45">
      <c r="A31" s="2" t="s">
        <v>57</v>
      </c>
    </row>
  </sheetData>
  <mergeCells count="1">
    <mergeCell ref="B1:L1"/>
  </mergeCells>
  <pageMargins left="0.7" right="0.7" top="0.75" bottom="0.75" header="0.3" footer="0.3"/>
  <headerFooter>
    <oddHeader>&amp;R&amp;"Arial Black"&amp;10&amp;K4099DA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
  <sheetViews>
    <sheetView zoomScale="86" zoomScaleNormal="86" workbookViewId="0">
      <selection activeCell="B2" sqref="B2"/>
    </sheetView>
  </sheetViews>
  <sheetFormatPr defaultColWidth="8.73046875" defaultRowHeight="14.25" x14ac:dyDescent="0.45"/>
  <cols>
    <col min="1" max="1" width="26.59765625" style="17" customWidth="1"/>
    <col min="2" max="2" width="26.265625" style="44" bestFit="1" customWidth="1"/>
    <col min="3" max="3" width="8.73046875" style="17"/>
    <col min="4" max="4" width="140" style="44" customWidth="1"/>
    <col min="5" max="5" width="1.73046875" style="17" customWidth="1"/>
    <col min="6" max="6" width="34.73046875" style="17" customWidth="1"/>
    <col min="7" max="16384" width="8.73046875" style="17"/>
  </cols>
  <sheetData>
    <row r="1" spans="1:6" ht="15" customHeight="1" x14ac:dyDescent="0.45">
      <c r="A1" s="29" t="s">
        <v>14</v>
      </c>
      <c r="B1" s="45" t="s">
        <v>1</v>
      </c>
      <c r="C1" s="5" t="s">
        <v>2</v>
      </c>
      <c r="D1" s="31" t="s">
        <v>3</v>
      </c>
      <c r="F1" s="190" t="s">
        <v>49</v>
      </c>
    </row>
    <row r="2" spans="1:6" ht="15" customHeight="1" x14ac:dyDescent="0.45">
      <c r="A2" s="27" t="s">
        <v>191</v>
      </c>
      <c r="B2" s="46" t="s">
        <v>45</v>
      </c>
      <c r="C2" s="9" t="s">
        <v>9</v>
      </c>
      <c r="D2" s="30" t="s">
        <v>190</v>
      </c>
      <c r="F2" s="191"/>
    </row>
    <row r="3" spans="1:6" ht="15" customHeight="1" x14ac:dyDescent="0.45">
      <c r="A3" s="27" t="s">
        <v>114</v>
      </c>
      <c r="B3" s="46" t="s">
        <v>46</v>
      </c>
      <c r="C3" s="9" t="s">
        <v>9</v>
      </c>
      <c r="D3" s="30" t="s">
        <v>115</v>
      </c>
      <c r="F3" s="192"/>
    </row>
    <row r="4" spans="1:6" x14ac:dyDescent="0.45">
      <c r="A4" s="27" t="s">
        <v>111</v>
      </c>
      <c r="B4" s="47" t="s">
        <v>93</v>
      </c>
      <c r="C4" s="7" t="s">
        <v>9</v>
      </c>
      <c r="D4" s="32" t="s">
        <v>143</v>
      </c>
      <c r="F4" s="192"/>
    </row>
    <row r="5" spans="1:6" x14ac:dyDescent="0.45">
      <c r="A5" s="27" t="s">
        <v>95</v>
      </c>
      <c r="B5" s="47" t="s">
        <v>112</v>
      </c>
      <c r="C5" s="7" t="s">
        <v>9</v>
      </c>
      <c r="D5" s="32" t="s">
        <v>110</v>
      </c>
      <c r="F5" s="192"/>
    </row>
    <row r="6" spans="1:6" x14ac:dyDescent="0.45">
      <c r="A6" s="27" t="s">
        <v>96</v>
      </c>
      <c r="B6" s="46" t="s">
        <v>45</v>
      </c>
      <c r="C6" s="7" t="s">
        <v>9</v>
      </c>
      <c r="D6" s="32" t="s">
        <v>145</v>
      </c>
      <c r="F6" s="192"/>
    </row>
    <row r="7" spans="1:6" ht="14.65" thickBot="1" x14ac:dyDescent="0.5">
      <c r="A7" s="28" t="s">
        <v>98</v>
      </c>
      <c r="B7" s="48" t="s">
        <v>46</v>
      </c>
      <c r="C7" s="22" t="s">
        <v>9</v>
      </c>
      <c r="D7" s="33" t="s">
        <v>97</v>
      </c>
      <c r="F7" s="193"/>
    </row>
    <row r="8" spans="1:6" s="8" customFormat="1" ht="14.65" thickBot="1" x14ac:dyDescent="0.5">
      <c r="A8" s="19" t="s">
        <v>59</v>
      </c>
      <c r="B8" s="49"/>
      <c r="C8" s="20"/>
      <c r="D8" s="34"/>
      <c r="F8" s="21"/>
    </row>
    <row r="9" spans="1:6" x14ac:dyDescent="0.45">
      <c r="A9" s="5" t="s">
        <v>0</v>
      </c>
      <c r="B9" s="45" t="s">
        <v>1</v>
      </c>
      <c r="C9" s="194" t="s">
        <v>3</v>
      </c>
      <c r="D9" s="195"/>
      <c r="F9" s="3"/>
    </row>
    <row r="10" spans="1:6" x14ac:dyDescent="0.45">
      <c r="A10" s="6" t="s">
        <v>62</v>
      </c>
      <c r="B10" s="46"/>
      <c r="C10" s="196" t="s">
        <v>61</v>
      </c>
      <c r="D10" s="197"/>
      <c r="F10" s="3"/>
    </row>
    <row r="11" spans="1:6" x14ac:dyDescent="0.45">
      <c r="A11" s="6" t="s">
        <v>60</v>
      </c>
      <c r="B11" s="46"/>
      <c r="C11" s="196" t="s">
        <v>154</v>
      </c>
      <c r="D11" s="197"/>
      <c r="F11" s="3"/>
    </row>
    <row r="12" spans="1:6" x14ac:dyDescent="0.45">
      <c r="A12" s="6" t="s">
        <v>63</v>
      </c>
      <c r="B12" s="46"/>
      <c r="C12" s="196" t="s">
        <v>156</v>
      </c>
      <c r="D12" s="197"/>
      <c r="F12" s="3"/>
    </row>
    <row r="13" spans="1:6" ht="14.65" thickBot="1" x14ac:dyDescent="0.5">
      <c r="A13" s="10" t="s">
        <v>64</v>
      </c>
      <c r="B13" s="48"/>
      <c r="C13" s="198" t="s">
        <v>155</v>
      </c>
      <c r="D13" s="199"/>
      <c r="F13" s="3"/>
    </row>
    <row r="14" spans="1:6" s="8" customFormat="1" ht="14.65" thickBot="1" x14ac:dyDescent="0.5">
      <c r="A14" s="18" t="s">
        <v>89</v>
      </c>
      <c r="B14" s="35"/>
      <c r="C14" s="18"/>
      <c r="D14" s="35"/>
    </row>
    <row r="15" spans="1:6" ht="14.25" customHeight="1" x14ac:dyDescent="0.45">
      <c r="A15" s="5" t="s">
        <v>0</v>
      </c>
      <c r="B15" s="45" t="s">
        <v>1</v>
      </c>
      <c r="C15" s="5" t="s">
        <v>2</v>
      </c>
      <c r="D15" s="31" t="s">
        <v>3</v>
      </c>
      <c r="F15" s="187" t="s">
        <v>13</v>
      </c>
    </row>
    <row r="16" spans="1:6" x14ac:dyDescent="0.45">
      <c r="A16" s="6" t="s">
        <v>117</v>
      </c>
      <c r="B16" s="50">
        <v>60</v>
      </c>
      <c r="C16" s="6" t="s">
        <v>70</v>
      </c>
      <c r="D16" s="32" t="s">
        <v>118</v>
      </c>
      <c r="F16" s="188"/>
    </row>
    <row r="17" spans="1:9" x14ac:dyDescent="0.45">
      <c r="A17" s="6" t="s">
        <v>101</v>
      </c>
      <c r="B17" s="50">
        <v>2.0099999999999998</v>
      </c>
      <c r="C17" s="6" t="s">
        <v>4</v>
      </c>
      <c r="D17" s="32" t="s">
        <v>5</v>
      </c>
      <c r="F17" s="188"/>
    </row>
    <row r="18" spans="1:9" x14ac:dyDescent="0.45">
      <c r="A18" s="6" t="s">
        <v>100</v>
      </c>
      <c r="B18" s="148">
        <v>2</v>
      </c>
      <c r="C18" s="6" t="s">
        <v>6</v>
      </c>
      <c r="D18" s="32" t="s">
        <v>105</v>
      </c>
      <c r="F18" s="188"/>
    </row>
    <row r="19" spans="1:9" x14ac:dyDescent="0.45">
      <c r="A19" s="6" t="s">
        <v>152</v>
      </c>
      <c r="B19" s="50">
        <v>20</v>
      </c>
      <c r="C19" s="6" t="s">
        <v>6</v>
      </c>
      <c r="D19" s="32" t="s">
        <v>104</v>
      </c>
      <c r="F19" s="188"/>
    </row>
    <row r="20" spans="1:9" x14ac:dyDescent="0.45">
      <c r="A20" s="6" t="s">
        <v>157</v>
      </c>
      <c r="B20" s="51" t="s">
        <v>45</v>
      </c>
      <c r="C20" s="6" t="s">
        <v>9</v>
      </c>
      <c r="D20" s="30" t="s">
        <v>159</v>
      </c>
      <c r="F20" s="188"/>
    </row>
    <row r="21" spans="1:9" ht="28.5" x14ac:dyDescent="0.45">
      <c r="A21" s="6" t="s">
        <v>113</v>
      </c>
      <c r="B21" s="51" t="s">
        <v>45</v>
      </c>
      <c r="C21" s="6" t="s">
        <v>9</v>
      </c>
      <c r="D21" s="30" t="s">
        <v>160</v>
      </c>
      <c r="F21" s="188"/>
    </row>
    <row r="22" spans="1:9" x14ac:dyDescent="0.45">
      <c r="A22" s="6" t="s">
        <v>188</v>
      </c>
      <c r="B22" s="51" t="s">
        <v>45</v>
      </c>
      <c r="C22" s="6" t="s">
        <v>9</v>
      </c>
      <c r="D22" s="30" t="s">
        <v>189</v>
      </c>
      <c r="F22" s="188"/>
    </row>
    <row r="23" spans="1:9" x14ac:dyDescent="0.45">
      <c r="A23" s="6" t="s">
        <v>106</v>
      </c>
      <c r="B23" s="52">
        <v>2</v>
      </c>
      <c r="C23" s="6" t="s">
        <v>8</v>
      </c>
      <c r="D23" s="32" t="s">
        <v>158</v>
      </c>
      <c r="F23" s="188"/>
    </row>
    <row r="24" spans="1:9" x14ac:dyDescent="0.45">
      <c r="A24" s="6" t="s">
        <v>107</v>
      </c>
      <c r="B24" s="52" t="s">
        <v>46</v>
      </c>
      <c r="C24" s="6" t="s">
        <v>9</v>
      </c>
      <c r="D24" s="32" t="s">
        <v>91</v>
      </c>
      <c r="F24" s="188"/>
    </row>
    <row r="25" spans="1:9" x14ac:dyDescent="0.45">
      <c r="A25" s="6" t="s">
        <v>108</v>
      </c>
      <c r="B25" s="50" t="s">
        <v>285</v>
      </c>
      <c r="C25" s="6" t="s">
        <v>9</v>
      </c>
      <c r="D25" s="32" t="s">
        <v>66</v>
      </c>
      <c r="F25" s="188"/>
    </row>
    <row r="26" spans="1:9" x14ac:dyDescent="0.45">
      <c r="A26" s="6" t="s">
        <v>109</v>
      </c>
      <c r="B26" s="50"/>
      <c r="C26" s="6" t="s">
        <v>9</v>
      </c>
      <c r="D26" s="32" t="s">
        <v>65</v>
      </c>
      <c r="F26" s="188"/>
    </row>
    <row r="27" spans="1:9" x14ac:dyDescent="0.45">
      <c r="A27" s="6" t="s">
        <v>281</v>
      </c>
      <c r="B27" s="53" t="s">
        <v>284</v>
      </c>
      <c r="C27" s="6" t="s">
        <v>9</v>
      </c>
      <c r="D27" s="32" t="s">
        <v>283</v>
      </c>
      <c r="F27" s="188"/>
    </row>
    <row r="28" spans="1:9" x14ac:dyDescent="0.45">
      <c r="A28" s="6" t="s">
        <v>58</v>
      </c>
      <c r="B28" s="53" t="s">
        <v>56</v>
      </c>
      <c r="C28" s="6" t="s">
        <v>9</v>
      </c>
      <c r="D28" s="32" t="s">
        <v>10</v>
      </c>
      <c r="F28" s="188"/>
    </row>
    <row r="29" spans="1:9" x14ac:dyDescent="0.45">
      <c r="A29" s="6" t="s">
        <v>11</v>
      </c>
      <c r="B29" s="50">
        <v>5</v>
      </c>
      <c r="C29" s="6" t="s">
        <v>7</v>
      </c>
      <c r="D29" s="32" t="s">
        <v>12</v>
      </c>
      <c r="F29" s="188"/>
      <c r="I29" s="157"/>
    </row>
    <row r="30" spans="1:9" ht="14.65" thickBot="1" x14ac:dyDescent="0.5">
      <c r="A30" s="10" t="s">
        <v>51</v>
      </c>
      <c r="B30" s="54">
        <v>5</v>
      </c>
      <c r="C30" s="10" t="s">
        <v>7</v>
      </c>
      <c r="D30" s="33" t="s">
        <v>12</v>
      </c>
      <c r="F30" s="189"/>
      <c r="I30" s="157"/>
    </row>
    <row r="31" spans="1:9" s="8" customFormat="1" ht="14.65" thickBot="1" x14ac:dyDescent="0.5">
      <c r="A31" s="19" t="s">
        <v>67</v>
      </c>
      <c r="B31" s="49"/>
      <c r="C31" s="20"/>
      <c r="D31" s="34"/>
      <c r="F31" s="21"/>
      <c r="I31" s="157"/>
    </row>
    <row r="32" spans="1:9" x14ac:dyDescent="0.45">
      <c r="A32" s="5" t="s">
        <v>0</v>
      </c>
      <c r="B32" s="45" t="s">
        <v>1</v>
      </c>
      <c r="C32" s="194" t="s">
        <v>3</v>
      </c>
      <c r="D32" s="195"/>
      <c r="F32" s="187" t="s">
        <v>120</v>
      </c>
      <c r="H32" s="8"/>
      <c r="I32" s="157"/>
    </row>
    <row r="33" spans="1:9" ht="14.65" thickBot="1" x14ac:dyDescent="0.5">
      <c r="A33" s="10" t="s">
        <v>68</v>
      </c>
      <c r="B33" s="48"/>
      <c r="C33" s="22" t="s">
        <v>125</v>
      </c>
      <c r="D33" s="36" t="s">
        <v>126</v>
      </c>
      <c r="F33" s="189"/>
      <c r="H33" s="8"/>
      <c r="I33" s="157"/>
    </row>
    <row r="34" spans="1:9" s="8" customFormat="1" ht="14.65" thickBot="1" x14ac:dyDescent="0.5">
      <c r="A34" s="18" t="s">
        <v>90</v>
      </c>
      <c r="B34" s="35"/>
      <c r="C34" s="18"/>
      <c r="D34" s="35"/>
      <c r="I34" s="157"/>
    </row>
    <row r="35" spans="1:9" x14ac:dyDescent="0.45">
      <c r="A35" s="11" t="s">
        <v>0</v>
      </c>
      <c r="B35" s="55" t="s">
        <v>1</v>
      </c>
      <c r="C35" s="11" t="s">
        <v>2</v>
      </c>
      <c r="D35" s="37" t="s">
        <v>3</v>
      </c>
      <c r="F35" s="187" t="s">
        <v>20</v>
      </c>
      <c r="H35" s="8"/>
      <c r="I35" s="157"/>
    </row>
    <row r="36" spans="1:9" ht="14.65" thickBot="1" x14ac:dyDescent="0.5">
      <c r="A36" s="6" t="s">
        <v>102</v>
      </c>
      <c r="B36" s="50">
        <v>0.5</v>
      </c>
      <c r="C36" s="6" t="s">
        <v>4</v>
      </c>
      <c r="D36" s="32" t="s">
        <v>103</v>
      </c>
      <c r="F36" s="189"/>
      <c r="H36" s="8"/>
      <c r="I36" s="157"/>
    </row>
    <row r="37" spans="1:9" s="8" customFormat="1" ht="14.65" thickBot="1" x14ac:dyDescent="0.5">
      <c r="A37" s="18" t="s">
        <v>116</v>
      </c>
      <c r="B37" s="35"/>
      <c r="C37" s="18"/>
      <c r="D37" s="35"/>
      <c r="I37" s="157"/>
    </row>
    <row r="38" spans="1:9" ht="14.65" customHeight="1" x14ac:dyDescent="0.45">
      <c r="A38" s="26" t="s">
        <v>0</v>
      </c>
      <c r="B38" s="55" t="s">
        <v>1</v>
      </c>
      <c r="C38" s="11" t="s">
        <v>2</v>
      </c>
      <c r="D38" s="37" t="s">
        <v>3</v>
      </c>
      <c r="F38" s="187" t="s">
        <v>123</v>
      </c>
      <c r="H38" s="158"/>
      <c r="I38" s="157"/>
    </row>
    <row r="39" spans="1:9" x14ac:dyDescent="0.45">
      <c r="A39" s="27" t="s">
        <v>137</v>
      </c>
      <c r="B39" s="61">
        <v>2.1</v>
      </c>
      <c r="C39" s="6" t="s">
        <v>8</v>
      </c>
      <c r="D39" s="32" t="s">
        <v>148</v>
      </c>
      <c r="F39" s="188"/>
      <c r="H39" s="158"/>
      <c r="I39" s="157"/>
    </row>
    <row r="40" spans="1:9" x14ac:dyDescent="0.45">
      <c r="A40" s="27" t="s">
        <v>135</v>
      </c>
      <c r="B40" s="50">
        <f>B45</f>
        <v>8.3333333333333339E-4</v>
      </c>
      <c r="C40" s="6" t="s">
        <v>8</v>
      </c>
      <c r="D40" s="32" t="s">
        <v>149</v>
      </c>
      <c r="F40" s="188"/>
      <c r="H40" s="158"/>
      <c r="I40" s="157"/>
    </row>
    <row r="41" spans="1:9" ht="14.65" thickBot="1" x14ac:dyDescent="0.5">
      <c r="A41" s="28" t="s">
        <v>151</v>
      </c>
      <c r="B41" s="62">
        <f>B39+9*B40</f>
        <v>2.1074999999999999</v>
      </c>
      <c r="C41" s="10" t="s">
        <v>8</v>
      </c>
      <c r="D41" s="33" t="s">
        <v>150</v>
      </c>
      <c r="F41" s="189"/>
      <c r="H41" s="158"/>
      <c r="I41" s="157"/>
    </row>
    <row r="42" spans="1:9" s="8" customFormat="1" ht="14.65" thickBot="1" x14ac:dyDescent="0.5">
      <c r="A42" s="18" t="s">
        <v>48</v>
      </c>
      <c r="B42" s="35"/>
      <c r="C42" s="18"/>
      <c r="D42" s="35"/>
      <c r="H42" s="158"/>
    </row>
    <row r="43" spans="1:9" ht="14.65" customHeight="1" x14ac:dyDescent="0.45">
      <c r="A43" s="11" t="s">
        <v>0</v>
      </c>
      <c r="B43" s="55" t="s">
        <v>1</v>
      </c>
      <c r="C43" s="11" t="s">
        <v>2</v>
      </c>
      <c r="D43" s="37" t="s">
        <v>3</v>
      </c>
      <c r="F43" s="187" t="s">
        <v>121</v>
      </c>
      <c r="H43" s="158"/>
    </row>
    <row r="44" spans="1:9" x14ac:dyDescent="0.45">
      <c r="A44" s="6" t="s">
        <v>17</v>
      </c>
      <c r="B44" s="61">
        <v>2.2000000000000002</v>
      </c>
      <c r="C44" s="6" t="s">
        <v>8</v>
      </c>
      <c r="D44" s="30" t="s">
        <v>133</v>
      </c>
      <c r="F44" s="188"/>
      <c r="H44" s="158"/>
    </row>
    <row r="45" spans="1:9" x14ac:dyDescent="0.45">
      <c r="A45" s="6" t="s">
        <v>136</v>
      </c>
      <c r="B45" s="50">
        <f>1/(B16*20)</f>
        <v>8.3333333333333339E-4</v>
      </c>
      <c r="C45" s="6" t="s">
        <v>8</v>
      </c>
      <c r="D45" s="30" t="s">
        <v>134</v>
      </c>
      <c r="F45" s="188"/>
      <c r="H45" s="158"/>
    </row>
    <row r="46" spans="1:9" x14ac:dyDescent="0.45">
      <c r="A46" s="6" t="s">
        <v>18</v>
      </c>
      <c r="B46" s="61">
        <f>B44+9*B45</f>
        <v>2.2075</v>
      </c>
      <c r="C46" s="6" t="s">
        <v>8</v>
      </c>
      <c r="D46" s="32" t="s">
        <v>19</v>
      </c>
      <c r="F46" s="188"/>
      <c r="H46" s="158"/>
    </row>
    <row r="47" spans="1:9" ht="14.65" thickBot="1" x14ac:dyDescent="0.5">
      <c r="A47" s="6" t="s">
        <v>146</v>
      </c>
      <c r="B47" s="61">
        <v>0.1</v>
      </c>
      <c r="C47" s="6" t="s">
        <v>8</v>
      </c>
      <c r="D47" s="32" t="s">
        <v>147</v>
      </c>
      <c r="F47" s="189"/>
      <c r="H47" s="158"/>
    </row>
    <row r="48" spans="1:9" s="8" customFormat="1" ht="14.65" thickBot="1" x14ac:dyDescent="0.5">
      <c r="A48" s="18" t="s">
        <v>47</v>
      </c>
      <c r="B48" s="35"/>
      <c r="C48" s="18"/>
      <c r="D48" s="35"/>
      <c r="H48" s="158"/>
    </row>
    <row r="49" spans="1:8" x14ac:dyDescent="0.45">
      <c r="A49" s="11" t="s">
        <v>0</v>
      </c>
      <c r="B49" s="55" t="s">
        <v>1</v>
      </c>
      <c r="C49" s="11" t="s">
        <v>2</v>
      </c>
      <c r="D49" s="37" t="s">
        <v>3</v>
      </c>
      <c r="F49" s="187" t="s">
        <v>122</v>
      </c>
      <c r="H49" s="158"/>
    </row>
    <row r="50" spans="1:8" x14ac:dyDescent="0.45">
      <c r="A50" s="6" t="s">
        <v>21</v>
      </c>
      <c r="B50" s="50">
        <v>5</v>
      </c>
      <c r="C50" s="6" t="s">
        <v>7</v>
      </c>
      <c r="D50" s="32" t="s">
        <v>22</v>
      </c>
      <c r="F50" s="188"/>
    </row>
    <row r="51" spans="1:8" x14ac:dyDescent="0.45">
      <c r="A51" s="6" t="s">
        <v>23</v>
      </c>
      <c r="B51" s="50">
        <v>5</v>
      </c>
      <c r="C51" s="6" t="s">
        <v>7</v>
      </c>
      <c r="D51" s="32" t="s">
        <v>24</v>
      </c>
      <c r="F51" s="188"/>
    </row>
    <row r="52" spans="1:8" x14ac:dyDescent="0.45">
      <c r="A52" s="6" t="s">
        <v>25</v>
      </c>
      <c r="B52" s="50">
        <v>4</v>
      </c>
      <c r="C52" s="6" t="s">
        <v>7</v>
      </c>
      <c r="D52" s="32" t="s">
        <v>26</v>
      </c>
      <c r="F52" s="188"/>
    </row>
    <row r="53" spans="1:8" x14ac:dyDescent="0.45">
      <c r="A53" s="6" t="s">
        <v>27</v>
      </c>
      <c r="B53" s="63">
        <v>2.0499999999999998</v>
      </c>
      <c r="C53" s="6" t="s">
        <v>8</v>
      </c>
      <c r="D53" s="32" t="s">
        <v>28</v>
      </c>
      <c r="F53" s="188"/>
    </row>
    <row r="54" spans="1:8" x14ac:dyDescent="0.45">
      <c r="A54" s="6" t="s">
        <v>29</v>
      </c>
      <c r="B54" s="65">
        <f>ROUND(B53+1/B16,6)</f>
        <v>2.0666669999999998</v>
      </c>
      <c r="C54" s="6" t="s">
        <v>8</v>
      </c>
      <c r="D54" s="32" t="s">
        <v>30</v>
      </c>
      <c r="F54" s="188"/>
    </row>
    <row r="55" spans="1:8" x14ac:dyDescent="0.45">
      <c r="A55" s="6" t="s">
        <v>31</v>
      </c>
      <c r="B55" s="64">
        <v>-3.0000000000000001E-3</v>
      </c>
      <c r="C55" s="6" t="s">
        <v>8</v>
      </c>
      <c r="D55" s="32" t="s">
        <v>164</v>
      </c>
      <c r="F55" s="188"/>
    </row>
    <row r="56" spans="1:8" x14ac:dyDescent="0.45">
      <c r="A56" s="6" t="s">
        <v>32</v>
      </c>
      <c r="B56" s="64">
        <v>3.0000000000000001E-3</v>
      </c>
      <c r="C56" s="6" t="s">
        <v>8</v>
      </c>
      <c r="D56" s="32" t="s">
        <v>161</v>
      </c>
      <c r="F56" s="188"/>
    </row>
    <row r="57" spans="1:8" x14ac:dyDescent="0.45">
      <c r="A57" s="6" t="s">
        <v>33</v>
      </c>
      <c r="B57" s="64">
        <v>-3.0000000000000001E-3</v>
      </c>
      <c r="C57" s="6" t="s">
        <v>8</v>
      </c>
      <c r="D57" s="32" t="s">
        <v>163</v>
      </c>
      <c r="F57" s="188"/>
    </row>
    <row r="58" spans="1:8" ht="14.65" thickBot="1" x14ac:dyDescent="0.5">
      <c r="A58" s="6" t="s">
        <v>34</v>
      </c>
      <c r="B58" s="64">
        <v>3.0000000000000001E-3</v>
      </c>
      <c r="C58" s="6" t="s">
        <v>8</v>
      </c>
      <c r="D58" s="32" t="s">
        <v>162</v>
      </c>
      <c r="F58" s="189"/>
    </row>
    <row r="59" spans="1:8" s="13" customFormat="1" ht="14.65" thickBot="1" x14ac:dyDescent="0.5">
      <c r="A59" s="12" t="s">
        <v>73</v>
      </c>
      <c r="B59" s="38"/>
      <c r="D59" s="38"/>
    </row>
    <row r="60" spans="1:8" s="14" customFormat="1" ht="14.25" customHeight="1" x14ac:dyDescent="0.45">
      <c r="A60" s="15" t="s">
        <v>0</v>
      </c>
      <c r="B60" s="56" t="s">
        <v>1</v>
      </c>
      <c r="C60" s="15" t="s">
        <v>2</v>
      </c>
      <c r="D60" s="39" t="s">
        <v>3</v>
      </c>
      <c r="F60" s="187" t="s">
        <v>124</v>
      </c>
    </row>
    <row r="61" spans="1:8" s="14" customFormat="1" x14ac:dyDescent="0.45">
      <c r="A61" s="4" t="s">
        <v>74</v>
      </c>
      <c r="B61" s="57">
        <v>0</v>
      </c>
      <c r="C61" s="4" t="s">
        <v>70</v>
      </c>
      <c r="D61" s="40" t="s">
        <v>75</v>
      </c>
      <c r="F61" s="188"/>
    </row>
    <row r="62" spans="1:8" s="14" customFormat="1" x14ac:dyDescent="0.45">
      <c r="A62" s="4" t="s">
        <v>76</v>
      </c>
      <c r="B62" s="57">
        <v>360</v>
      </c>
      <c r="C62" s="4" t="s">
        <v>70</v>
      </c>
      <c r="D62" s="40" t="s">
        <v>77</v>
      </c>
      <c r="F62" s="188"/>
    </row>
    <row r="63" spans="1:8" s="14" customFormat="1" x14ac:dyDescent="0.45">
      <c r="A63" s="4" t="s">
        <v>78</v>
      </c>
      <c r="B63" s="57">
        <v>2</v>
      </c>
      <c r="C63" s="4" t="s">
        <v>70</v>
      </c>
      <c r="D63" s="40" t="s">
        <v>79</v>
      </c>
      <c r="F63" s="188"/>
    </row>
    <row r="64" spans="1:8" s="14" customFormat="1" x14ac:dyDescent="0.45">
      <c r="A64" s="16" t="s">
        <v>80</v>
      </c>
      <c r="B64" s="51">
        <v>0</v>
      </c>
      <c r="C64" s="16" t="s">
        <v>7</v>
      </c>
      <c r="D64" s="41" t="s">
        <v>81</v>
      </c>
      <c r="F64" s="188"/>
    </row>
    <row r="65" spans="1:6" s="14" customFormat="1" x14ac:dyDescent="0.45">
      <c r="A65" s="16" t="s">
        <v>82</v>
      </c>
      <c r="B65" s="51">
        <v>0</v>
      </c>
      <c r="C65" s="16" t="s">
        <v>7</v>
      </c>
      <c r="D65" s="41" t="s">
        <v>83</v>
      </c>
      <c r="F65" s="188"/>
    </row>
    <row r="66" spans="1:6" s="14" customFormat="1" x14ac:dyDescent="0.45">
      <c r="A66" s="16" t="s">
        <v>84</v>
      </c>
      <c r="B66" s="51">
        <v>0</v>
      </c>
      <c r="C66" s="16" t="s">
        <v>70</v>
      </c>
      <c r="D66" s="41" t="s">
        <v>85</v>
      </c>
      <c r="F66" s="188"/>
    </row>
    <row r="67" spans="1:6" s="14" customFormat="1" ht="14.65" thickBot="1" x14ac:dyDescent="0.5">
      <c r="A67" s="25" t="s">
        <v>86</v>
      </c>
      <c r="B67" s="58">
        <v>1</v>
      </c>
      <c r="C67" s="25" t="s">
        <v>7</v>
      </c>
      <c r="D67" s="42" t="s">
        <v>87</v>
      </c>
      <c r="F67" s="189"/>
    </row>
    <row r="68" spans="1:6" s="14" customFormat="1" ht="14.65" thickBot="1" x14ac:dyDescent="0.5">
      <c r="A68" s="12" t="s">
        <v>127</v>
      </c>
      <c r="B68" s="59"/>
      <c r="C68" s="24"/>
      <c r="D68" s="43"/>
      <c r="F68" s="3"/>
    </row>
    <row r="69" spans="1:6" s="14" customFormat="1" ht="14.25" customHeight="1" x14ac:dyDescent="0.45">
      <c r="A69" s="15" t="s">
        <v>0</v>
      </c>
      <c r="B69" s="56" t="s">
        <v>1</v>
      </c>
      <c r="C69" s="15" t="s">
        <v>2</v>
      </c>
      <c r="D69" s="39" t="s">
        <v>3</v>
      </c>
      <c r="F69" s="3"/>
    </row>
    <row r="70" spans="1:6" s="14" customFormat="1" x14ac:dyDescent="0.45">
      <c r="A70" s="4" t="s">
        <v>128</v>
      </c>
      <c r="B70" s="57" t="s">
        <v>69</v>
      </c>
      <c r="C70" s="4" t="s">
        <v>15</v>
      </c>
      <c r="D70" s="40" t="s">
        <v>129</v>
      </c>
      <c r="F70" s="3"/>
    </row>
    <row r="72" spans="1:6" x14ac:dyDescent="0.45">
      <c r="A72" s="23" t="s">
        <v>119</v>
      </c>
    </row>
    <row r="79" spans="1:6" x14ac:dyDescent="0.45">
      <c r="B79" s="60"/>
    </row>
  </sheetData>
  <sheetProtection formatCells="0" formatColumns="0" formatRows="0"/>
  <mergeCells count="14">
    <mergeCell ref="F1:F7"/>
    <mergeCell ref="C32:D32"/>
    <mergeCell ref="C9:D9"/>
    <mergeCell ref="C10:D10"/>
    <mergeCell ref="C11:D11"/>
    <mergeCell ref="C13:D13"/>
    <mergeCell ref="C12:D12"/>
    <mergeCell ref="F60:F67"/>
    <mergeCell ref="F35:F36"/>
    <mergeCell ref="F49:F58"/>
    <mergeCell ref="F15:F30"/>
    <mergeCell ref="F43:F47"/>
    <mergeCell ref="F38:F41"/>
    <mergeCell ref="F32:F33"/>
  </mergeCells>
  <pageMargins left="0.7" right="0.7" top="0.75" bottom="0.75" header="0.3" footer="0.3"/>
  <pageSetup paperSize="9" orientation="portrait" r:id="rId1"/>
  <headerFooter>
    <oddHeader>&amp;R&amp;"Arial Black"&amp;10&amp;K4099DA INTERNAL&amp;1#_x000D_</oddHeader>
  </headerFooter>
  <extLst>
    <ext xmlns:x14="http://schemas.microsoft.com/office/spreadsheetml/2009/9/main" uri="{CCE6A557-97BC-4b89-ADB6-D9C93CAAB3DF}">
      <x14:dataValidations xmlns:xm="http://schemas.microsoft.com/office/excel/2006/main" count="6">
        <x14:dataValidation type="list" allowBlank="1" showInputMessage="1" showErrorMessage="1" xr:uid="{3AB264DA-14A8-410B-B7AF-CF27AC9E7CB8}">
          <x14:formula1>
            <xm:f>BaseSheet!$A$26:$A$31</xm:f>
          </x14:formula1>
          <xm:sqref>B28</xm:sqref>
        </x14:dataValidation>
        <x14:dataValidation type="list" allowBlank="1" showInputMessage="1" showErrorMessage="1" xr:uid="{BE6C56D4-CD7A-4929-AA45-8247F3AE7974}">
          <x14:formula1>
            <xm:f>BaseSheet!$A$2:$A$13</xm:f>
          </x14:formula1>
          <xm:sqref>B31 B8</xm:sqref>
        </x14:dataValidation>
        <x14:dataValidation type="list" allowBlank="1" showInputMessage="1" showErrorMessage="1" xr:uid="{29D5B56B-5AA3-4F20-8974-B4C3D82E1360}">
          <x14:formula1>
            <xm:f>BaseSheet!$A$2:$A$5</xm:f>
          </x14:formula1>
          <xm:sqref>B4</xm:sqref>
        </x14:dataValidation>
        <x14:dataValidation type="list" allowBlank="1" showInputMessage="1" showErrorMessage="1" xr:uid="{399CFA81-15BD-438D-AF9C-06F07BF59881}">
          <x14:formula1>
            <xm:f>BaseSheet!$A$8:$A$11</xm:f>
          </x14:formula1>
          <xm:sqref>B5</xm:sqref>
        </x14:dataValidation>
        <x14:dataValidation type="list" allowBlank="1" showInputMessage="1" showErrorMessage="1" xr:uid="{0B77DEC6-B20E-496E-8CB6-3903040BF33A}">
          <x14:formula1>
            <xm:f>BaseSheet!$A$14:$A$15</xm:f>
          </x14:formula1>
          <xm:sqref>B6:B7 B20:B22 B24 B2:B3</xm:sqref>
        </x14:dataValidation>
        <x14:dataValidation type="list" allowBlank="1" showInputMessage="1" showErrorMessage="1" xr:uid="{DE030E2A-A2B0-4911-9752-7B59C38C46D7}">
          <x14:formula1>
            <xm:f>BaseSheet!$A$19:$A$20</xm:f>
          </x14:formula1>
          <xm:sqref>B27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4DA2-6204-4A45-8149-8244470BE140}">
  <dimension ref="A1:BK41"/>
  <sheetViews>
    <sheetView tabSelected="1" zoomScaleNormal="100" workbookViewId="0">
      <pane xSplit="2" ySplit="2" topLeftCell="C16" activePane="bottomRight" state="frozen"/>
      <selection pane="topRight" activeCell="C1" sqref="C1"/>
      <selection pane="bottomLeft" activeCell="A3" sqref="A3"/>
      <selection pane="bottomRight" activeCell="A42" sqref="A42"/>
    </sheetView>
  </sheetViews>
  <sheetFormatPr defaultColWidth="8.73046875" defaultRowHeight="17.25" customHeight="1" x14ac:dyDescent="0.45"/>
  <cols>
    <col min="1" max="1" width="16.1328125" style="68" bestFit="1" customWidth="1"/>
    <col min="2" max="2" width="10.59765625" style="68" bestFit="1" customWidth="1"/>
    <col min="3" max="3" width="23.1328125" style="68" bestFit="1" customWidth="1"/>
    <col min="4" max="4" width="23.1328125" style="68" customWidth="1"/>
    <col min="5" max="5" width="23.59765625" style="68" customWidth="1"/>
    <col min="6" max="8" width="23.1328125" style="68" customWidth="1"/>
    <col min="9" max="10" width="23.59765625" style="68" customWidth="1"/>
    <col min="11" max="14" width="23.1328125" style="68" customWidth="1"/>
    <col min="15" max="16" width="23.59765625" style="68" customWidth="1"/>
    <col min="17" max="19" width="25.86328125" style="68" customWidth="1"/>
    <col min="20" max="21" width="23.1328125" style="68" customWidth="1"/>
    <col min="22" max="22" width="23.59765625" style="68" customWidth="1"/>
    <col min="23" max="25" width="23.1328125" style="68" customWidth="1"/>
    <col min="26" max="27" width="23.59765625" style="68" customWidth="1"/>
    <col min="28" max="31" width="23.1328125" style="68" customWidth="1"/>
    <col min="32" max="33" width="23.59765625" style="68" customWidth="1"/>
    <col min="34" max="36" width="25.86328125" style="68" customWidth="1"/>
    <col min="37" max="38" width="23.1328125" style="68" customWidth="1"/>
    <col min="39" max="39" width="23.59765625" style="68" customWidth="1"/>
    <col min="40" max="42" width="23.1328125" style="68" customWidth="1"/>
    <col min="43" max="44" width="23.59765625" style="68" customWidth="1"/>
    <col min="45" max="48" width="23.1328125" style="68" customWidth="1"/>
    <col min="49" max="50" width="23.59765625" style="68" customWidth="1"/>
    <col min="51" max="53" width="25.86328125" style="68" customWidth="1"/>
    <col min="54" max="54" width="23.1328125" style="68" bestFit="1" customWidth="1"/>
    <col min="55" max="57" width="23.1328125" style="68" customWidth="1"/>
    <col min="58" max="58" width="23.59765625" style="68" customWidth="1"/>
    <col min="59" max="62" width="23.1328125" style="68" customWidth="1"/>
    <col min="63" max="63" width="23.59765625" style="68" customWidth="1"/>
    <col min="64" max="16384" width="8.73046875" style="68"/>
  </cols>
  <sheetData>
    <row r="1" spans="1:63" ht="17.25" customHeight="1" thickBot="1" x14ac:dyDescent="0.5">
      <c r="A1" s="83" t="s">
        <v>35</v>
      </c>
      <c r="B1" s="6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47"/>
      <c r="BH1" s="147"/>
      <c r="BI1" s="147"/>
      <c r="BJ1" s="147"/>
      <c r="BK1" s="147"/>
    </row>
    <row r="2" spans="1:63" ht="17.25" customHeight="1" x14ac:dyDescent="0.45">
      <c r="A2" s="86" t="s">
        <v>36</v>
      </c>
      <c r="B2" s="104" t="s">
        <v>37</v>
      </c>
      <c r="C2" s="138" t="s">
        <v>245</v>
      </c>
      <c r="D2" s="138" t="s">
        <v>310</v>
      </c>
      <c r="E2" s="138" t="s">
        <v>246</v>
      </c>
      <c r="F2" s="138" t="s">
        <v>249</v>
      </c>
      <c r="G2" s="138" t="s">
        <v>263</v>
      </c>
      <c r="H2" s="138" t="s">
        <v>264</v>
      </c>
      <c r="I2" s="138" t="s">
        <v>313</v>
      </c>
      <c r="J2" s="141" t="s">
        <v>250</v>
      </c>
      <c r="K2" s="138" t="s">
        <v>251</v>
      </c>
      <c r="L2" s="138" t="s">
        <v>252</v>
      </c>
      <c r="M2" s="138" t="s">
        <v>253</v>
      </c>
      <c r="N2" s="138" t="s">
        <v>254</v>
      </c>
      <c r="O2" s="138" t="s">
        <v>265</v>
      </c>
      <c r="P2" s="138" t="s">
        <v>316</v>
      </c>
      <c r="Q2" s="138" t="s">
        <v>266</v>
      </c>
      <c r="R2" s="138" t="s">
        <v>267</v>
      </c>
      <c r="S2" s="138" t="s">
        <v>268</v>
      </c>
      <c r="T2" s="138" t="s">
        <v>247</v>
      </c>
      <c r="U2" s="138" t="s">
        <v>311</v>
      </c>
      <c r="V2" s="138" t="s">
        <v>248</v>
      </c>
      <c r="W2" s="138" t="s">
        <v>255</v>
      </c>
      <c r="X2" s="138" t="s">
        <v>261</v>
      </c>
      <c r="Y2" s="138" t="s">
        <v>262</v>
      </c>
      <c r="Z2" s="138" t="s">
        <v>314</v>
      </c>
      <c r="AA2" s="141" t="s">
        <v>256</v>
      </c>
      <c r="AB2" s="138" t="s">
        <v>257</v>
      </c>
      <c r="AC2" s="138" t="s">
        <v>258</v>
      </c>
      <c r="AD2" s="138" t="s">
        <v>259</v>
      </c>
      <c r="AE2" s="138" t="s">
        <v>260</v>
      </c>
      <c r="AF2" s="138" t="s">
        <v>269</v>
      </c>
      <c r="AG2" s="138" t="s">
        <v>317</v>
      </c>
      <c r="AH2" s="138" t="s">
        <v>270</v>
      </c>
      <c r="AI2" s="138" t="s">
        <v>271</v>
      </c>
      <c r="AJ2" s="138" t="s">
        <v>272</v>
      </c>
      <c r="AK2" s="138" t="s">
        <v>297</v>
      </c>
      <c r="AL2" s="138" t="s">
        <v>312</v>
      </c>
      <c r="AM2" s="138" t="s">
        <v>298</v>
      </c>
      <c r="AN2" s="138" t="s">
        <v>299</v>
      </c>
      <c r="AO2" s="138" t="s">
        <v>300</v>
      </c>
      <c r="AP2" s="138" t="s">
        <v>301</v>
      </c>
      <c r="AQ2" s="138" t="s">
        <v>315</v>
      </c>
      <c r="AR2" s="141" t="s">
        <v>302</v>
      </c>
      <c r="AS2" s="138" t="s">
        <v>303</v>
      </c>
      <c r="AT2" s="138" t="s">
        <v>304</v>
      </c>
      <c r="AU2" s="138" t="s">
        <v>305</v>
      </c>
      <c r="AV2" s="138" t="s">
        <v>306</v>
      </c>
      <c r="AW2" s="138" t="s">
        <v>273</v>
      </c>
      <c r="AX2" s="138" t="s">
        <v>318</v>
      </c>
      <c r="AY2" s="138" t="s">
        <v>307</v>
      </c>
      <c r="AZ2" s="138" t="s">
        <v>308</v>
      </c>
      <c r="BA2" s="138" t="s">
        <v>309</v>
      </c>
      <c r="BB2" s="138" t="s">
        <v>320</v>
      </c>
      <c r="BC2" s="138" t="s">
        <v>321</v>
      </c>
      <c r="BD2" s="138" t="s">
        <v>322</v>
      </c>
      <c r="BE2" s="138" t="s">
        <v>323</v>
      </c>
      <c r="BF2" s="138" t="s">
        <v>324</v>
      </c>
      <c r="BG2" s="138" t="s">
        <v>325</v>
      </c>
      <c r="BH2" s="138" t="s">
        <v>326</v>
      </c>
      <c r="BI2" s="138" t="s">
        <v>327</v>
      </c>
      <c r="BJ2" s="138" t="s">
        <v>328</v>
      </c>
      <c r="BK2" s="138" t="s">
        <v>329</v>
      </c>
    </row>
    <row r="3" spans="1:63" ht="17.25" customHeight="1" x14ac:dyDescent="0.45">
      <c r="A3" s="87" t="s">
        <v>225</v>
      </c>
      <c r="B3" s="105" t="s">
        <v>138</v>
      </c>
      <c r="C3" s="139" t="s">
        <v>39</v>
      </c>
      <c r="D3" s="139" t="s">
        <v>39</v>
      </c>
      <c r="E3" s="139" t="s">
        <v>39</v>
      </c>
      <c r="F3" s="139" t="s">
        <v>39</v>
      </c>
      <c r="G3" s="139" t="s">
        <v>39</v>
      </c>
      <c r="H3" s="139" t="s">
        <v>39</v>
      </c>
      <c r="I3" s="139" t="s">
        <v>39</v>
      </c>
      <c r="J3" s="142" t="s">
        <v>39</v>
      </c>
      <c r="K3" s="139" t="s">
        <v>39</v>
      </c>
      <c r="L3" s="139" t="s">
        <v>39</v>
      </c>
      <c r="M3" s="139" t="s">
        <v>39</v>
      </c>
      <c r="N3" s="139" t="s">
        <v>39</v>
      </c>
      <c r="O3" s="139" t="s">
        <v>39</v>
      </c>
      <c r="P3" s="139" t="s">
        <v>39</v>
      </c>
      <c r="Q3" s="139" t="s">
        <v>39</v>
      </c>
      <c r="R3" s="139" t="s">
        <v>39</v>
      </c>
      <c r="S3" s="139" t="s">
        <v>39</v>
      </c>
      <c r="T3" s="139" t="s">
        <v>39</v>
      </c>
      <c r="U3" s="139" t="s">
        <v>39</v>
      </c>
      <c r="V3" s="139" t="s">
        <v>39</v>
      </c>
      <c r="W3" s="139" t="s">
        <v>39</v>
      </c>
      <c r="X3" s="139" t="s">
        <v>39</v>
      </c>
      <c r="Y3" s="139" t="s">
        <v>39</v>
      </c>
      <c r="Z3" s="139" t="s">
        <v>39</v>
      </c>
      <c r="AA3" s="142" t="s">
        <v>39</v>
      </c>
      <c r="AB3" s="139" t="s">
        <v>39</v>
      </c>
      <c r="AC3" s="139" t="s">
        <v>39</v>
      </c>
      <c r="AD3" s="139" t="s">
        <v>39</v>
      </c>
      <c r="AE3" s="139" t="s">
        <v>39</v>
      </c>
      <c r="AF3" s="139" t="s">
        <v>39</v>
      </c>
      <c r="AG3" s="139" t="s">
        <v>39</v>
      </c>
      <c r="AH3" s="139" t="s">
        <v>39</v>
      </c>
      <c r="AI3" s="139" t="s">
        <v>39</v>
      </c>
      <c r="AJ3" s="139" t="s">
        <v>39</v>
      </c>
      <c r="AK3" s="139" t="s">
        <v>39</v>
      </c>
      <c r="AL3" s="139" t="s">
        <v>39</v>
      </c>
      <c r="AM3" s="139" t="s">
        <v>39</v>
      </c>
      <c r="AN3" s="139" t="s">
        <v>39</v>
      </c>
      <c r="AO3" s="139" t="s">
        <v>39</v>
      </c>
      <c r="AP3" s="139" t="s">
        <v>39</v>
      </c>
      <c r="AQ3" s="139" t="s">
        <v>39</v>
      </c>
      <c r="AR3" s="142" t="s">
        <v>39</v>
      </c>
      <c r="AS3" s="139" t="s">
        <v>39</v>
      </c>
      <c r="AT3" s="139" t="s">
        <v>39</v>
      </c>
      <c r="AU3" s="139" t="s">
        <v>39</v>
      </c>
      <c r="AV3" s="139" t="s">
        <v>39</v>
      </c>
      <c r="AW3" s="139" t="s">
        <v>39</v>
      </c>
      <c r="AX3" s="139" t="s">
        <v>39</v>
      </c>
      <c r="AY3" s="139" t="s">
        <v>39</v>
      </c>
      <c r="AZ3" s="139" t="s">
        <v>39</v>
      </c>
      <c r="BA3" s="139" t="s">
        <v>39</v>
      </c>
      <c r="BB3" s="139" t="s">
        <v>39</v>
      </c>
      <c r="BC3" s="139" t="s">
        <v>39</v>
      </c>
      <c r="BD3" s="139" t="s">
        <v>39</v>
      </c>
      <c r="BE3" s="139" t="s">
        <v>39</v>
      </c>
      <c r="BF3" s="139" t="s">
        <v>39</v>
      </c>
      <c r="BG3" s="139" t="s">
        <v>39</v>
      </c>
      <c r="BH3" s="139" t="s">
        <v>39</v>
      </c>
      <c r="BI3" s="139" t="s">
        <v>39</v>
      </c>
      <c r="BJ3" s="139" t="s">
        <v>39</v>
      </c>
      <c r="BK3" s="139" t="s">
        <v>39</v>
      </c>
    </row>
    <row r="4" spans="1:63" ht="17.25" customHeight="1" x14ac:dyDescent="0.45">
      <c r="A4" s="87" t="s">
        <v>226</v>
      </c>
      <c r="B4" s="105" t="s">
        <v>138</v>
      </c>
      <c r="C4" s="139" t="s">
        <v>39</v>
      </c>
      <c r="D4" s="139" t="s">
        <v>216</v>
      </c>
      <c r="E4" s="139" t="s">
        <v>39</v>
      </c>
      <c r="F4" s="139" t="s">
        <v>39</v>
      </c>
      <c r="G4" s="139" t="s">
        <v>39</v>
      </c>
      <c r="H4" s="139" t="s">
        <v>39</v>
      </c>
      <c r="I4" s="139" t="s">
        <v>39</v>
      </c>
      <c r="J4" s="142" t="s">
        <v>39</v>
      </c>
      <c r="K4" s="139" t="s">
        <v>39</v>
      </c>
      <c r="L4" s="139" t="s">
        <v>39</v>
      </c>
      <c r="M4" s="139" t="s">
        <v>39</v>
      </c>
      <c r="N4" s="139" t="s">
        <v>39</v>
      </c>
      <c r="O4" s="139" t="s">
        <v>39</v>
      </c>
      <c r="P4" s="139" t="s">
        <v>39</v>
      </c>
      <c r="Q4" s="139" t="s">
        <v>39</v>
      </c>
      <c r="R4" s="139" t="s">
        <v>39</v>
      </c>
      <c r="S4" s="139" t="s">
        <v>39</v>
      </c>
      <c r="T4" s="139" t="s">
        <v>39</v>
      </c>
      <c r="U4" s="139" t="s">
        <v>216</v>
      </c>
      <c r="V4" s="139" t="s">
        <v>39</v>
      </c>
      <c r="W4" s="139" t="s">
        <v>39</v>
      </c>
      <c r="X4" s="139" t="s">
        <v>39</v>
      </c>
      <c r="Y4" s="139" t="s">
        <v>39</v>
      </c>
      <c r="Z4" s="139" t="s">
        <v>39</v>
      </c>
      <c r="AA4" s="142" t="s">
        <v>39</v>
      </c>
      <c r="AB4" s="139" t="s">
        <v>39</v>
      </c>
      <c r="AC4" s="139" t="s">
        <v>39</v>
      </c>
      <c r="AD4" s="139" t="s">
        <v>39</v>
      </c>
      <c r="AE4" s="139" t="s">
        <v>39</v>
      </c>
      <c r="AF4" s="139" t="s">
        <v>39</v>
      </c>
      <c r="AG4" s="139" t="s">
        <v>39</v>
      </c>
      <c r="AH4" s="139" t="s">
        <v>39</v>
      </c>
      <c r="AI4" s="139" t="s">
        <v>39</v>
      </c>
      <c r="AJ4" s="139" t="s">
        <v>39</v>
      </c>
      <c r="AK4" s="139" t="s">
        <v>39</v>
      </c>
      <c r="AL4" s="139" t="s">
        <v>216</v>
      </c>
      <c r="AM4" s="139" t="s">
        <v>39</v>
      </c>
      <c r="AN4" s="139" t="s">
        <v>39</v>
      </c>
      <c r="AO4" s="139" t="s">
        <v>39</v>
      </c>
      <c r="AP4" s="139" t="s">
        <v>39</v>
      </c>
      <c r="AQ4" s="139" t="s">
        <v>39</v>
      </c>
      <c r="AR4" s="142" t="s">
        <v>39</v>
      </c>
      <c r="AS4" s="139" t="s">
        <v>39</v>
      </c>
      <c r="AT4" s="139" t="s">
        <v>39</v>
      </c>
      <c r="AU4" s="139" t="s">
        <v>39</v>
      </c>
      <c r="AV4" s="139" t="s">
        <v>39</v>
      </c>
      <c r="AW4" s="139" t="s">
        <v>39</v>
      </c>
      <c r="AX4" s="139" t="s">
        <v>39</v>
      </c>
      <c r="AY4" s="139" t="s">
        <v>39</v>
      </c>
      <c r="AZ4" s="139" t="s">
        <v>39</v>
      </c>
      <c r="BA4" s="139" t="s">
        <v>39</v>
      </c>
      <c r="BB4" s="139" t="s">
        <v>39</v>
      </c>
      <c r="BC4" s="139" t="s">
        <v>39</v>
      </c>
      <c r="BD4" s="139" t="s">
        <v>39</v>
      </c>
      <c r="BE4" s="139" t="s">
        <v>39</v>
      </c>
      <c r="BF4" s="139" t="s">
        <v>39</v>
      </c>
      <c r="BG4" s="139" t="s">
        <v>39</v>
      </c>
      <c r="BH4" s="139" t="s">
        <v>39</v>
      </c>
      <c r="BI4" s="139" t="s">
        <v>39</v>
      </c>
      <c r="BJ4" s="139" t="s">
        <v>39</v>
      </c>
      <c r="BK4" s="139" t="s">
        <v>39</v>
      </c>
    </row>
    <row r="5" spans="1:63" ht="17.25" customHeight="1" x14ac:dyDescent="0.45">
      <c r="A5" s="87" t="s">
        <v>171</v>
      </c>
      <c r="B5" s="105" t="s">
        <v>138</v>
      </c>
      <c r="C5" s="139" t="s">
        <v>39</v>
      </c>
      <c r="D5" s="139" t="s">
        <v>216</v>
      </c>
      <c r="E5" s="139" t="s">
        <v>216</v>
      </c>
      <c r="F5" s="139" t="s">
        <v>216</v>
      </c>
      <c r="G5" s="139" t="s">
        <v>216</v>
      </c>
      <c r="H5" s="139" t="s">
        <v>39</v>
      </c>
      <c r="I5" s="139" t="s">
        <v>39</v>
      </c>
      <c r="J5" s="142" t="s">
        <v>39</v>
      </c>
      <c r="K5" s="139" t="s">
        <v>39</v>
      </c>
      <c r="L5" s="139" t="s">
        <v>39</v>
      </c>
      <c r="M5" s="139" t="s">
        <v>39</v>
      </c>
      <c r="N5" s="139" t="s">
        <v>39</v>
      </c>
      <c r="O5" s="139" t="s">
        <v>39</v>
      </c>
      <c r="P5" s="139" t="s">
        <v>39</v>
      </c>
      <c r="Q5" s="139" t="s">
        <v>39</v>
      </c>
      <c r="R5" s="139" t="s">
        <v>39</v>
      </c>
      <c r="S5" s="139" t="s">
        <v>39</v>
      </c>
      <c r="T5" s="139" t="s">
        <v>39</v>
      </c>
      <c r="U5" s="139" t="s">
        <v>216</v>
      </c>
      <c r="V5" s="139" t="s">
        <v>216</v>
      </c>
      <c r="W5" s="139" t="s">
        <v>216</v>
      </c>
      <c r="X5" s="139" t="s">
        <v>216</v>
      </c>
      <c r="Y5" s="139" t="s">
        <v>39</v>
      </c>
      <c r="Z5" s="139" t="s">
        <v>39</v>
      </c>
      <c r="AA5" s="142" t="s">
        <v>39</v>
      </c>
      <c r="AB5" s="139" t="s">
        <v>39</v>
      </c>
      <c r="AC5" s="139" t="s">
        <v>39</v>
      </c>
      <c r="AD5" s="139" t="s">
        <v>39</v>
      </c>
      <c r="AE5" s="139" t="s">
        <v>39</v>
      </c>
      <c r="AF5" s="139" t="s">
        <v>39</v>
      </c>
      <c r="AG5" s="139" t="s">
        <v>39</v>
      </c>
      <c r="AH5" s="139" t="s">
        <v>39</v>
      </c>
      <c r="AI5" s="139" t="s">
        <v>39</v>
      </c>
      <c r="AJ5" s="139" t="s">
        <v>39</v>
      </c>
      <c r="AK5" s="139" t="s">
        <v>39</v>
      </c>
      <c r="AL5" s="139" t="s">
        <v>216</v>
      </c>
      <c r="AM5" s="139" t="s">
        <v>216</v>
      </c>
      <c r="AN5" s="139" t="s">
        <v>216</v>
      </c>
      <c r="AO5" s="139" t="s">
        <v>216</v>
      </c>
      <c r="AP5" s="139" t="s">
        <v>39</v>
      </c>
      <c r="AQ5" s="139" t="s">
        <v>39</v>
      </c>
      <c r="AR5" s="142" t="s">
        <v>39</v>
      </c>
      <c r="AS5" s="139" t="s">
        <v>39</v>
      </c>
      <c r="AT5" s="139" t="s">
        <v>39</v>
      </c>
      <c r="AU5" s="139" t="s">
        <v>39</v>
      </c>
      <c r="AV5" s="139" t="s">
        <v>39</v>
      </c>
      <c r="AW5" s="139" t="s">
        <v>39</v>
      </c>
      <c r="AX5" s="139" t="s">
        <v>39</v>
      </c>
      <c r="AY5" s="139" t="s">
        <v>39</v>
      </c>
      <c r="AZ5" s="139" t="s">
        <v>39</v>
      </c>
      <c r="BA5" s="139" t="s">
        <v>39</v>
      </c>
      <c r="BB5" s="139" t="s">
        <v>39</v>
      </c>
      <c r="BC5" s="139" t="s">
        <v>39</v>
      </c>
      <c r="BD5" s="139" t="s">
        <v>39</v>
      </c>
      <c r="BE5" s="139" t="s">
        <v>39</v>
      </c>
      <c r="BF5" s="139" t="s">
        <v>39</v>
      </c>
      <c r="BG5" s="139" t="s">
        <v>39</v>
      </c>
      <c r="BH5" s="139" t="s">
        <v>39</v>
      </c>
      <c r="BI5" s="139" t="s">
        <v>39</v>
      </c>
      <c r="BJ5" s="139" t="s">
        <v>39</v>
      </c>
      <c r="BK5" s="139" t="s">
        <v>39</v>
      </c>
    </row>
    <row r="6" spans="1:63" ht="17.25" customHeight="1" thickBot="1" x14ac:dyDescent="0.5">
      <c r="A6" s="87" t="s">
        <v>165</v>
      </c>
      <c r="B6" s="105" t="s">
        <v>138</v>
      </c>
      <c r="C6" s="139" t="s">
        <v>39</v>
      </c>
      <c r="D6" s="139" t="s">
        <v>216</v>
      </c>
      <c r="E6" s="139" t="s">
        <v>39</v>
      </c>
      <c r="F6" s="139" t="s">
        <v>39</v>
      </c>
      <c r="G6" s="139" t="s">
        <v>39</v>
      </c>
      <c r="H6" s="139" t="s">
        <v>39</v>
      </c>
      <c r="I6" s="139" t="s">
        <v>39</v>
      </c>
      <c r="J6" s="142" t="s">
        <v>39</v>
      </c>
      <c r="K6" s="139" t="s">
        <v>39</v>
      </c>
      <c r="L6" s="139" t="s">
        <v>39</v>
      </c>
      <c r="M6" s="139" t="s">
        <v>39</v>
      </c>
      <c r="N6" s="139" t="s">
        <v>39</v>
      </c>
      <c r="O6" s="139" t="s">
        <v>39</v>
      </c>
      <c r="P6" s="139" t="s">
        <v>39</v>
      </c>
      <c r="Q6" s="139" t="s">
        <v>39</v>
      </c>
      <c r="R6" s="139" t="s">
        <v>39</v>
      </c>
      <c r="S6" s="139" t="s">
        <v>39</v>
      </c>
      <c r="T6" s="139" t="s">
        <v>153</v>
      </c>
      <c r="U6" s="139" t="s">
        <v>153</v>
      </c>
      <c r="V6" s="139" t="s">
        <v>153</v>
      </c>
      <c r="W6" s="139" t="s">
        <v>153</v>
      </c>
      <c r="X6" s="139" t="s">
        <v>153</v>
      </c>
      <c r="Y6" s="139" t="s">
        <v>153</v>
      </c>
      <c r="Z6" s="139" t="s">
        <v>153</v>
      </c>
      <c r="AA6" s="139" t="s">
        <v>153</v>
      </c>
      <c r="AB6" s="139" t="s">
        <v>153</v>
      </c>
      <c r="AC6" s="139" t="s">
        <v>153</v>
      </c>
      <c r="AD6" s="139" t="s">
        <v>153</v>
      </c>
      <c r="AE6" s="139" t="s">
        <v>153</v>
      </c>
      <c r="AF6" s="139" t="s">
        <v>153</v>
      </c>
      <c r="AG6" s="139" t="s">
        <v>153</v>
      </c>
      <c r="AH6" s="139" t="s">
        <v>153</v>
      </c>
      <c r="AI6" s="139" t="s">
        <v>153</v>
      </c>
      <c r="AJ6" s="139" t="s">
        <v>153</v>
      </c>
      <c r="AK6" s="139" t="s">
        <v>39</v>
      </c>
      <c r="AL6" s="139" t="s">
        <v>216</v>
      </c>
      <c r="AM6" s="139" t="s">
        <v>39</v>
      </c>
      <c r="AN6" s="139" t="s">
        <v>39</v>
      </c>
      <c r="AO6" s="139" t="s">
        <v>39</v>
      </c>
      <c r="AP6" s="139" t="s">
        <v>39</v>
      </c>
      <c r="AQ6" s="139" t="s">
        <v>39</v>
      </c>
      <c r="AR6" s="142" t="s">
        <v>39</v>
      </c>
      <c r="AS6" s="139" t="s">
        <v>39</v>
      </c>
      <c r="AT6" s="139" t="s">
        <v>39</v>
      </c>
      <c r="AU6" s="139" t="s">
        <v>39</v>
      </c>
      <c r="AV6" s="139" t="s">
        <v>39</v>
      </c>
      <c r="AW6" s="139" t="s">
        <v>39</v>
      </c>
      <c r="AX6" s="139" t="s">
        <v>39</v>
      </c>
      <c r="AY6" s="139" t="s">
        <v>39</v>
      </c>
      <c r="AZ6" s="139" t="s">
        <v>39</v>
      </c>
      <c r="BA6" s="139" t="s">
        <v>39</v>
      </c>
      <c r="BB6" s="139" t="s">
        <v>39</v>
      </c>
      <c r="BC6" s="139" t="s">
        <v>39</v>
      </c>
      <c r="BD6" s="139" t="s">
        <v>39</v>
      </c>
      <c r="BE6" s="139" t="s">
        <v>39</v>
      </c>
      <c r="BF6" s="139" t="s">
        <v>39</v>
      </c>
      <c r="BG6" s="139" t="s">
        <v>39</v>
      </c>
      <c r="BH6" s="139" t="s">
        <v>39</v>
      </c>
      <c r="BI6" s="139" t="s">
        <v>39</v>
      </c>
      <c r="BJ6" s="139" t="s">
        <v>39</v>
      </c>
      <c r="BK6" s="139" t="s">
        <v>39</v>
      </c>
    </row>
    <row r="7" spans="1:63" ht="17.25" customHeight="1" x14ac:dyDescent="0.45">
      <c r="A7" s="112" t="s">
        <v>209</v>
      </c>
      <c r="B7" s="113" t="s">
        <v>138</v>
      </c>
      <c r="C7" s="129" t="s">
        <v>39</v>
      </c>
      <c r="D7" s="129" t="s">
        <v>39</v>
      </c>
      <c r="E7" s="129" t="s">
        <v>216</v>
      </c>
      <c r="F7" s="129" t="s">
        <v>216</v>
      </c>
      <c r="G7" s="129" t="s">
        <v>216</v>
      </c>
      <c r="H7" s="129" t="s">
        <v>216</v>
      </c>
      <c r="I7" s="129" t="s">
        <v>39</v>
      </c>
      <c r="J7" s="143" t="s">
        <v>39</v>
      </c>
      <c r="K7" s="129" t="s">
        <v>39</v>
      </c>
      <c r="L7" s="129" t="s">
        <v>39</v>
      </c>
      <c r="M7" s="129" t="s">
        <v>39</v>
      </c>
      <c r="N7" s="129" t="s">
        <v>39</v>
      </c>
      <c r="O7" s="129" t="s">
        <v>39</v>
      </c>
      <c r="P7" s="129" t="s">
        <v>39</v>
      </c>
      <c r="Q7" s="129" t="s">
        <v>39</v>
      </c>
      <c r="R7" s="129" t="s">
        <v>39</v>
      </c>
      <c r="S7" s="129" t="s">
        <v>39</v>
      </c>
      <c r="T7" s="129" t="s">
        <v>39</v>
      </c>
      <c r="U7" s="129" t="s">
        <v>39</v>
      </c>
      <c r="V7" s="129" t="s">
        <v>216</v>
      </c>
      <c r="W7" s="129" t="s">
        <v>216</v>
      </c>
      <c r="X7" s="129" t="s">
        <v>216</v>
      </c>
      <c r="Y7" s="129" t="s">
        <v>216</v>
      </c>
      <c r="Z7" s="129" t="s">
        <v>39</v>
      </c>
      <c r="AA7" s="143" t="s">
        <v>39</v>
      </c>
      <c r="AB7" s="129" t="s">
        <v>39</v>
      </c>
      <c r="AC7" s="129" t="s">
        <v>39</v>
      </c>
      <c r="AD7" s="129" t="s">
        <v>39</v>
      </c>
      <c r="AE7" s="129" t="s">
        <v>39</v>
      </c>
      <c r="AF7" s="129" t="s">
        <v>39</v>
      </c>
      <c r="AG7" s="129" t="s">
        <v>39</v>
      </c>
      <c r="AH7" s="129" t="s">
        <v>39</v>
      </c>
      <c r="AI7" s="129" t="s">
        <v>39</v>
      </c>
      <c r="AJ7" s="129" t="s">
        <v>39</v>
      </c>
      <c r="AK7" s="129" t="s">
        <v>39</v>
      </c>
      <c r="AL7" s="129" t="s">
        <v>39</v>
      </c>
      <c r="AM7" s="129" t="s">
        <v>216</v>
      </c>
      <c r="AN7" s="129" t="s">
        <v>216</v>
      </c>
      <c r="AO7" s="129" t="s">
        <v>216</v>
      </c>
      <c r="AP7" s="129" t="s">
        <v>216</v>
      </c>
      <c r="AQ7" s="129" t="s">
        <v>39</v>
      </c>
      <c r="AR7" s="143" t="s">
        <v>39</v>
      </c>
      <c r="AS7" s="129" t="s">
        <v>39</v>
      </c>
      <c r="AT7" s="129" t="s">
        <v>39</v>
      </c>
      <c r="AU7" s="129" t="s">
        <v>39</v>
      </c>
      <c r="AV7" s="129" t="s">
        <v>39</v>
      </c>
      <c r="AW7" s="129" t="s">
        <v>39</v>
      </c>
      <c r="AX7" s="129" t="s">
        <v>39</v>
      </c>
      <c r="AY7" s="129" t="s">
        <v>39</v>
      </c>
      <c r="AZ7" s="129" t="s">
        <v>39</v>
      </c>
      <c r="BA7" s="129" t="s">
        <v>39</v>
      </c>
      <c r="BB7" s="129" t="s">
        <v>39</v>
      </c>
      <c r="BC7" s="129" t="s">
        <v>216</v>
      </c>
      <c r="BD7" s="129" t="s">
        <v>39</v>
      </c>
      <c r="BE7" s="129" t="s">
        <v>39</v>
      </c>
      <c r="BF7" s="129" t="s">
        <v>39</v>
      </c>
      <c r="BG7" s="129" t="s">
        <v>39</v>
      </c>
      <c r="BH7" s="129" t="s">
        <v>216</v>
      </c>
      <c r="BI7" s="129" t="s">
        <v>39</v>
      </c>
      <c r="BJ7" s="129" t="s">
        <v>39</v>
      </c>
      <c r="BK7" s="129" t="s">
        <v>39</v>
      </c>
    </row>
    <row r="8" spans="1:63" ht="17.25" customHeight="1" x14ac:dyDescent="0.45">
      <c r="A8" s="88" t="s">
        <v>208</v>
      </c>
      <c r="B8" s="106" t="s">
        <v>138</v>
      </c>
      <c r="C8" s="139" t="s">
        <v>39</v>
      </c>
      <c r="D8" s="139" t="s">
        <v>39</v>
      </c>
      <c r="E8" s="139" t="s">
        <v>39</v>
      </c>
      <c r="F8" s="139" t="s">
        <v>39</v>
      </c>
      <c r="G8" s="139" t="s">
        <v>39</v>
      </c>
      <c r="H8" s="139" t="s">
        <v>39</v>
      </c>
      <c r="I8" s="139" t="s">
        <v>39</v>
      </c>
      <c r="J8" s="142" t="s">
        <v>39</v>
      </c>
      <c r="K8" s="139" t="s">
        <v>39</v>
      </c>
      <c r="L8" s="139" t="s">
        <v>39</v>
      </c>
      <c r="M8" s="139" t="s">
        <v>39</v>
      </c>
      <c r="N8" s="139" t="s">
        <v>39</v>
      </c>
      <c r="O8" s="139" t="s">
        <v>39</v>
      </c>
      <c r="P8" s="139" t="s">
        <v>39</v>
      </c>
      <c r="Q8" s="139" t="s">
        <v>39</v>
      </c>
      <c r="R8" s="139" t="s">
        <v>39</v>
      </c>
      <c r="S8" s="139" t="s">
        <v>39</v>
      </c>
      <c r="T8" s="139" t="s">
        <v>153</v>
      </c>
      <c r="U8" s="139" t="s">
        <v>153</v>
      </c>
      <c r="V8" s="139" t="s">
        <v>153</v>
      </c>
      <c r="W8" s="139" t="s">
        <v>153</v>
      </c>
      <c r="X8" s="139" t="s">
        <v>153</v>
      </c>
      <c r="Y8" s="139" t="s">
        <v>153</v>
      </c>
      <c r="Z8" s="139" t="s">
        <v>153</v>
      </c>
      <c r="AA8" s="139" t="s">
        <v>153</v>
      </c>
      <c r="AB8" s="139" t="s">
        <v>153</v>
      </c>
      <c r="AC8" s="139" t="s">
        <v>153</v>
      </c>
      <c r="AD8" s="139" t="s">
        <v>153</v>
      </c>
      <c r="AE8" s="139" t="s">
        <v>153</v>
      </c>
      <c r="AF8" s="139" t="s">
        <v>153</v>
      </c>
      <c r="AG8" s="139" t="s">
        <v>153</v>
      </c>
      <c r="AH8" s="139" t="s">
        <v>153</v>
      </c>
      <c r="AI8" s="139" t="s">
        <v>153</v>
      </c>
      <c r="AJ8" s="139" t="s">
        <v>153</v>
      </c>
      <c r="AK8" s="139" t="s">
        <v>39</v>
      </c>
      <c r="AL8" s="139" t="s">
        <v>39</v>
      </c>
      <c r="AM8" s="139" t="s">
        <v>39</v>
      </c>
      <c r="AN8" s="139" t="s">
        <v>39</v>
      </c>
      <c r="AO8" s="139" t="s">
        <v>39</v>
      </c>
      <c r="AP8" s="139" t="s">
        <v>39</v>
      </c>
      <c r="AQ8" s="139" t="s">
        <v>39</v>
      </c>
      <c r="AR8" s="142" t="s">
        <v>39</v>
      </c>
      <c r="AS8" s="139" t="s">
        <v>39</v>
      </c>
      <c r="AT8" s="139" t="s">
        <v>39</v>
      </c>
      <c r="AU8" s="139" t="s">
        <v>39</v>
      </c>
      <c r="AV8" s="139" t="s">
        <v>39</v>
      </c>
      <c r="AW8" s="139" t="s">
        <v>39</v>
      </c>
      <c r="AX8" s="139" t="s">
        <v>39</v>
      </c>
      <c r="AY8" s="139" t="s">
        <v>39</v>
      </c>
      <c r="AZ8" s="139" t="s">
        <v>39</v>
      </c>
      <c r="BA8" s="139" t="s">
        <v>39</v>
      </c>
      <c r="BB8" s="139" t="s">
        <v>39</v>
      </c>
      <c r="BC8" s="139" t="s">
        <v>39</v>
      </c>
      <c r="BD8" s="139" t="s">
        <v>39</v>
      </c>
      <c r="BE8" s="139" t="s">
        <v>39</v>
      </c>
      <c r="BF8" s="139" t="s">
        <v>39</v>
      </c>
      <c r="BG8" s="139" t="s">
        <v>39</v>
      </c>
      <c r="BH8" s="139" t="s">
        <v>39</v>
      </c>
      <c r="BI8" s="139" t="s">
        <v>39</v>
      </c>
      <c r="BJ8" s="139" t="s">
        <v>39</v>
      </c>
      <c r="BK8" s="139" t="s">
        <v>39</v>
      </c>
    </row>
    <row r="9" spans="1:63" ht="17.25" customHeight="1" thickBot="1" x14ac:dyDescent="0.5">
      <c r="A9" s="114" t="s">
        <v>210</v>
      </c>
      <c r="B9" s="115" t="s">
        <v>138</v>
      </c>
      <c r="C9" s="140" t="s">
        <v>153</v>
      </c>
      <c r="D9" s="140" t="s">
        <v>153</v>
      </c>
      <c r="E9" s="140" t="s">
        <v>153</v>
      </c>
      <c r="F9" s="140" t="s">
        <v>153</v>
      </c>
      <c r="G9" s="140" t="s">
        <v>153</v>
      </c>
      <c r="H9" s="140" t="s">
        <v>153</v>
      </c>
      <c r="I9" s="140" t="s">
        <v>153</v>
      </c>
      <c r="J9" s="144" t="s">
        <v>153</v>
      </c>
      <c r="K9" s="140" t="s">
        <v>153</v>
      </c>
      <c r="L9" s="140" t="s">
        <v>153</v>
      </c>
      <c r="M9" s="140" t="s">
        <v>153</v>
      </c>
      <c r="N9" s="140" t="s">
        <v>153</v>
      </c>
      <c r="O9" s="140" t="s">
        <v>153</v>
      </c>
      <c r="P9" s="140" t="s">
        <v>153</v>
      </c>
      <c r="Q9" s="140" t="s">
        <v>153</v>
      </c>
      <c r="R9" s="140" t="s">
        <v>153</v>
      </c>
      <c r="S9" s="140" t="s">
        <v>153</v>
      </c>
      <c r="T9" s="140" t="s">
        <v>153</v>
      </c>
      <c r="U9" s="140" t="s">
        <v>153</v>
      </c>
      <c r="V9" s="140" t="s">
        <v>153</v>
      </c>
      <c r="W9" s="140" t="s">
        <v>153</v>
      </c>
      <c r="X9" s="140" t="s">
        <v>153</v>
      </c>
      <c r="Y9" s="140" t="s">
        <v>153</v>
      </c>
      <c r="Z9" s="140" t="s">
        <v>153</v>
      </c>
      <c r="AA9" s="144" t="s">
        <v>153</v>
      </c>
      <c r="AB9" s="140" t="s">
        <v>153</v>
      </c>
      <c r="AC9" s="140" t="s">
        <v>153</v>
      </c>
      <c r="AD9" s="140" t="s">
        <v>153</v>
      </c>
      <c r="AE9" s="140" t="s">
        <v>153</v>
      </c>
      <c r="AF9" s="140" t="s">
        <v>153</v>
      </c>
      <c r="AG9" s="140" t="s">
        <v>153</v>
      </c>
      <c r="AH9" s="140" t="s">
        <v>153</v>
      </c>
      <c r="AI9" s="140" t="s">
        <v>153</v>
      </c>
      <c r="AJ9" s="140" t="s">
        <v>153</v>
      </c>
      <c r="AK9" s="140" t="s">
        <v>153</v>
      </c>
      <c r="AL9" s="140" t="s">
        <v>153</v>
      </c>
      <c r="AM9" s="140" t="s">
        <v>153</v>
      </c>
      <c r="AN9" s="140" t="s">
        <v>153</v>
      </c>
      <c r="AO9" s="140" t="s">
        <v>153</v>
      </c>
      <c r="AP9" s="140" t="s">
        <v>153</v>
      </c>
      <c r="AQ9" s="140" t="s">
        <v>153</v>
      </c>
      <c r="AR9" s="144" t="s">
        <v>153</v>
      </c>
      <c r="AS9" s="140" t="s">
        <v>153</v>
      </c>
      <c r="AT9" s="140" t="s">
        <v>153</v>
      </c>
      <c r="AU9" s="140" t="s">
        <v>153</v>
      </c>
      <c r="AV9" s="140" t="s">
        <v>153</v>
      </c>
      <c r="AW9" s="140" t="s">
        <v>153</v>
      </c>
      <c r="AX9" s="140" t="s">
        <v>153</v>
      </c>
      <c r="AY9" s="140" t="s">
        <v>153</v>
      </c>
      <c r="AZ9" s="140" t="s">
        <v>153</v>
      </c>
      <c r="BA9" s="140" t="s">
        <v>153</v>
      </c>
      <c r="BB9" s="140" t="s">
        <v>153</v>
      </c>
      <c r="BC9" s="140" t="s">
        <v>153</v>
      </c>
      <c r="BD9" s="140" t="s">
        <v>153</v>
      </c>
      <c r="BE9" s="140" t="s">
        <v>153</v>
      </c>
      <c r="BF9" s="140" t="s">
        <v>153</v>
      </c>
      <c r="BG9" s="140" t="s">
        <v>153</v>
      </c>
      <c r="BH9" s="140" t="s">
        <v>153</v>
      </c>
      <c r="BI9" s="140" t="s">
        <v>153</v>
      </c>
      <c r="BJ9" s="140" t="s">
        <v>153</v>
      </c>
      <c r="BK9" s="140" t="s">
        <v>153</v>
      </c>
    </row>
    <row r="10" spans="1:63" ht="17.25" customHeight="1" x14ac:dyDescent="0.45">
      <c r="A10" s="116" t="s">
        <v>172</v>
      </c>
      <c r="B10" s="117" t="s">
        <v>138</v>
      </c>
      <c r="C10" s="129" t="s">
        <v>39</v>
      </c>
      <c r="D10" s="129" t="s">
        <v>39</v>
      </c>
      <c r="E10" s="129" t="s">
        <v>216</v>
      </c>
      <c r="F10" s="129" t="s">
        <v>216</v>
      </c>
      <c r="G10" s="129" t="s">
        <v>216</v>
      </c>
      <c r="H10" s="129" t="s">
        <v>39</v>
      </c>
      <c r="I10" s="129" t="s">
        <v>216</v>
      </c>
      <c r="J10" s="143" t="s">
        <v>39</v>
      </c>
      <c r="K10" s="129" t="s">
        <v>39</v>
      </c>
      <c r="L10" s="129" t="s">
        <v>39</v>
      </c>
      <c r="M10" s="129" t="s">
        <v>39</v>
      </c>
      <c r="N10" s="129" t="s">
        <v>39</v>
      </c>
      <c r="O10" s="129" t="s">
        <v>39</v>
      </c>
      <c r="P10" s="129" t="s">
        <v>39</v>
      </c>
      <c r="Q10" s="129" t="s">
        <v>39</v>
      </c>
      <c r="R10" s="129" t="s">
        <v>39</v>
      </c>
      <c r="S10" s="129" t="s">
        <v>39</v>
      </c>
      <c r="T10" s="129" t="s">
        <v>39</v>
      </c>
      <c r="U10" s="129" t="s">
        <v>39</v>
      </c>
      <c r="V10" s="129" t="s">
        <v>216</v>
      </c>
      <c r="W10" s="129" t="s">
        <v>216</v>
      </c>
      <c r="X10" s="129" t="s">
        <v>216</v>
      </c>
      <c r="Y10" s="129" t="s">
        <v>39</v>
      </c>
      <c r="Z10" s="129" t="s">
        <v>216</v>
      </c>
      <c r="AA10" s="143" t="s">
        <v>39</v>
      </c>
      <c r="AB10" s="129" t="s">
        <v>39</v>
      </c>
      <c r="AC10" s="129" t="s">
        <v>39</v>
      </c>
      <c r="AD10" s="129" t="s">
        <v>39</v>
      </c>
      <c r="AE10" s="129" t="s">
        <v>39</v>
      </c>
      <c r="AF10" s="129" t="s">
        <v>39</v>
      </c>
      <c r="AG10" s="129" t="s">
        <v>39</v>
      </c>
      <c r="AH10" s="129" t="s">
        <v>39</v>
      </c>
      <c r="AI10" s="129" t="s">
        <v>39</v>
      </c>
      <c r="AJ10" s="129" t="s">
        <v>39</v>
      </c>
      <c r="AK10" s="129" t="s">
        <v>39</v>
      </c>
      <c r="AL10" s="129" t="s">
        <v>39</v>
      </c>
      <c r="AM10" s="129" t="s">
        <v>216</v>
      </c>
      <c r="AN10" s="129" t="s">
        <v>216</v>
      </c>
      <c r="AO10" s="129" t="s">
        <v>216</v>
      </c>
      <c r="AP10" s="129" t="s">
        <v>39</v>
      </c>
      <c r="AQ10" s="129" t="s">
        <v>216</v>
      </c>
      <c r="AR10" s="143" t="s">
        <v>39</v>
      </c>
      <c r="AS10" s="129" t="s">
        <v>39</v>
      </c>
      <c r="AT10" s="129" t="s">
        <v>39</v>
      </c>
      <c r="AU10" s="129" t="s">
        <v>39</v>
      </c>
      <c r="AV10" s="129" t="s">
        <v>39</v>
      </c>
      <c r="AW10" s="129" t="s">
        <v>39</v>
      </c>
      <c r="AX10" s="129" t="s">
        <v>39</v>
      </c>
      <c r="AY10" s="129" t="s">
        <v>39</v>
      </c>
      <c r="AZ10" s="129" t="s">
        <v>39</v>
      </c>
      <c r="BA10" s="129" t="s">
        <v>39</v>
      </c>
      <c r="BB10" s="129" t="s">
        <v>39</v>
      </c>
      <c r="BC10" s="129" t="s">
        <v>39</v>
      </c>
      <c r="BD10" s="129" t="s">
        <v>39</v>
      </c>
      <c r="BE10" s="129" t="s">
        <v>39</v>
      </c>
      <c r="BF10" s="129" t="s">
        <v>39</v>
      </c>
      <c r="BG10" s="129" t="s">
        <v>39</v>
      </c>
      <c r="BH10" s="129" t="s">
        <v>39</v>
      </c>
      <c r="BI10" s="129" t="s">
        <v>39</v>
      </c>
      <c r="BJ10" s="129" t="s">
        <v>39</v>
      </c>
      <c r="BK10" s="129" t="s">
        <v>39</v>
      </c>
    </row>
    <row r="11" spans="1:63" ht="17.25" customHeight="1" x14ac:dyDescent="0.45">
      <c r="A11" s="89" t="s">
        <v>166</v>
      </c>
      <c r="B11" s="107" t="s">
        <v>138</v>
      </c>
      <c r="C11" s="139" t="s">
        <v>39</v>
      </c>
      <c r="D11" s="139" t="s">
        <v>39</v>
      </c>
      <c r="E11" s="139" t="s">
        <v>39</v>
      </c>
      <c r="F11" s="139" t="s">
        <v>39</v>
      </c>
      <c r="G11" s="139" t="s">
        <v>39</v>
      </c>
      <c r="H11" s="139" t="s">
        <v>39</v>
      </c>
      <c r="I11" s="139" t="s">
        <v>39</v>
      </c>
      <c r="J11" s="142" t="s">
        <v>39</v>
      </c>
      <c r="K11" s="139" t="s">
        <v>39</v>
      </c>
      <c r="L11" s="139" t="s">
        <v>39</v>
      </c>
      <c r="M11" s="139" t="s">
        <v>39</v>
      </c>
      <c r="N11" s="139" t="s">
        <v>39</v>
      </c>
      <c r="O11" s="139" t="s">
        <v>39</v>
      </c>
      <c r="P11" s="139" t="s">
        <v>39</v>
      </c>
      <c r="Q11" s="139" t="s">
        <v>39</v>
      </c>
      <c r="R11" s="139" t="s">
        <v>39</v>
      </c>
      <c r="S11" s="139" t="s">
        <v>39</v>
      </c>
      <c r="T11" s="139" t="s">
        <v>153</v>
      </c>
      <c r="U11" s="139" t="s">
        <v>39</v>
      </c>
      <c r="V11" s="139" t="s">
        <v>39</v>
      </c>
      <c r="W11" s="139" t="s">
        <v>39</v>
      </c>
      <c r="X11" s="139" t="s">
        <v>39</v>
      </c>
      <c r="Y11" s="139" t="s">
        <v>39</v>
      </c>
      <c r="Z11" s="139" t="s">
        <v>39</v>
      </c>
      <c r="AA11" s="142" t="s">
        <v>39</v>
      </c>
      <c r="AB11" s="139" t="s">
        <v>39</v>
      </c>
      <c r="AC11" s="139" t="s">
        <v>39</v>
      </c>
      <c r="AD11" s="139" t="s">
        <v>39</v>
      </c>
      <c r="AE11" s="139" t="s">
        <v>39</v>
      </c>
      <c r="AF11" s="139" t="s">
        <v>39</v>
      </c>
      <c r="AG11" s="139" t="s">
        <v>39</v>
      </c>
      <c r="AH11" s="139" t="s">
        <v>39</v>
      </c>
      <c r="AI11" s="139" t="s">
        <v>39</v>
      </c>
      <c r="AJ11" s="139" t="s">
        <v>39</v>
      </c>
      <c r="AK11" s="139" t="s">
        <v>39</v>
      </c>
      <c r="AL11" s="139" t="s">
        <v>39</v>
      </c>
      <c r="AM11" s="139" t="s">
        <v>39</v>
      </c>
      <c r="AN11" s="139" t="s">
        <v>39</v>
      </c>
      <c r="AO11" s="139" t="s">
        <v>39</v>
      </c>
      <c r="AP11" s="139" t="s">
        <v>39</v>
      </c>
      <c r="AQ11" s="139" t="s">
        <v>39</v>
      </c>
      <c r="AR11" s="142" t="s">
        <v>39</v>
      </c>
      <c r="AS11" s="139" t="s">
        <v>39</v>
      </c>
      <c r="AT11" s="139" t="s">
        <v>39</v>
      </c>
      <c r="AU11" s="139" t="s">
        <v>39</v>
      </c>
      <c r="AV11" s="139" t="s">
        <v>39</v>
      </c>
      <c r="AW11" s="139" t="s">
        <v>39</v>
      </c>
      <c r="AX11" s="139" t="s">
        <v>39</v>
      </c>
      <c r="AY11" s="139" t="s">
        <v>39</v>
      </c>
      <c r="AZ11" s="139" t="s">
        <v>39</v>
      </c>
      <c r="BA11" s="139" t="s">
        <v>39</v>
      </c>
      <c r="BB11" s="139" t="s">
        <v>39</v>
      </c>
      <c r="BC11" s="139" t="s">
        <v>39</v>
      </c>
      <c r="BD11" s="139" t="s">
        <v>39</v>
      </c>
      <c r="BE11" s="139" t="s">
        <v>39</v>
      </c>
      <c r="BF11" s="139" t="s">
        <v>39</v>
      </c>
      <c r="BG11" s="139" t="s">
        <v>39</v>
      </c>
      <c r="BH11" s="139" t="s">
        <v>39</v>
      </c>
      <c r="BI11" s="139" t="s">
        <v>39</v>
      </c>
      <c r="BJ11" s="139" t="s">
        <v>39</v>
      </c>
      <c r="BK11" s="139" t="s">
        <v>39</v>
      </c>
    </row>
    <row r="12" spans="1:63" ht="17.25" customHeight="1" x14ac:dyDescent="0.45">
      <c r="A12" s="127" t="s">
        <v>170</v>
      </c>
      <c r="B12" s="128" t="s">
        <v>138</v>
      </c>
      <c r="C12" s="139" t="s">
        <v>153</v>
      </c>
      <c r="D12" s="139" t="s">
        <v>153</v>
      </c>
      <c r="E12" s="139" t="s">
        <v>153</v>
      </c>
      <c r="F12" s="139" t="s">
        <v>153</v>
      </c>
      <c r="G12" s="139" t="s">
        <v>153</v>
      </c>
      <c r="H12" s="139" t="s">
        <v>153</v>
      </c>
      <c r="I12" s="139" t="s">
        <v>153</v>
      </c>
      <c r="J12" s="142" t="s">
        <v>153</v>
      </c>
      <c r="K12" s="139" t="s">
        <v>153</v>
      </c>
      <c r="L12" s="139" t="s">
        <v>153</v>
      </c>
      <c r="M12" s="139" t="s">
        <v>153</v>
      </c>
      <c r="N12" s="139" t="s">
        <v>153</v>
      </c>
      <c r="O12" s="139" t="s">
        <v>153</v>
      </c>
      <c r="P12" s="139" t="s">
        <v>153</v>
      </c>
      <c r="Q12" s="139" t="s">
        <v>153</v>
      </c>
      <c r="R12" s="139" t="s">
        <v>153</v>
      </c>
      <c r="S12" s="139" t="s">
        <v>153</v>
      </c>
      <c r="T12" s="139" t="s">
        <v>153</v>
      </c>
      <c r="U12" s="139" t="s">
        <v>153</v>
      </c>
      <c r="V12" s="139" t="s">
        <v>153</v>
      </c>
      <c r="W12" s="139" t="s">
        <v>153</v>
      </c>
      <c r="X12" s="139" t="s">
        <v>153</v>
      </c>
      <c r="Y12" s="139" t="s">
        <v>153</v>
      </c>
      <c r="Z12" s="139" t="s">
        <v>153</v>
      </c>
      <c r="AA12" s="142" t="s">
        <v>153</v>
      </c>
      <c r="AB12" s="139" t="s">
        <v>153</v>
      </c>
      <c r="AC12" s="139" t="s">
        <v>153</v>
      </c>
      <c r="AD12" s="139" t="s">
        <v>153</v>
      </c>
      <c r="AE12" s="139" t="s">
        <v>153</v>
      </c>
      <c r="AF12" s="139" t="s">
        <v>153</v>
      </c>
      <c r="AG12" s="139" t="s">
        <v>153</v>
      </c>
      <c r="AH12" s="139" t="s">
        <v>153</v>
      </c>
      <c r="AI12" s="139" t="s">
        <v>153</v>
      </c>
      <c r="AJ12" s="139" t="s">
        <v>153</v>
      </c>
      <c r="AK12" s="139" t="s">
        <v>39</v>
      </c>
      <c r="AL12" s="139" t="s">
        <v>39</v>
      </c>
      <c r="AM12" s="139" t="s">
        <v>39</v>
      </c>
      <c r="AN12" s="139" t="s">
        <v>39</v>
      </c>
      <c r="AO12" s="139" t="s">
        <v>39</v>
      </c>
      <c r="AP12" s="139" t="s">
        <v>39</v>
      </c>
      <c r="AQ12" s="139" t="s">
        <v>39</v>
      </c>
      <c r="AR12" s="142" t="s">
        <v>39</v>
      </c>
      <c r="AS12" s="139" t="s">
        <v>39</v>
      </c>
      <c r="AT12" s="139" t="s">
        <v>39</v>
      </c>
      <c r="AU12" s="139" t="s">
        <v>39</v>
      </c>
      <c r="AV12" s="139" t="s">
        <v>39</v>
      </c>
      <c r="AW12" s="139" t="s">
        <v>39</v>
      </c>
      <c r="AX12" s="139" t="s">
        <v>39</v>
      </c>
      <c r="AY12" s="139" t="s">
        <v>39</v>
      </c>
      <c r="AZ12" s="139" t="s">
        <v>39</v>
      </c>
      <c r="BA12" s="139" t="s">
        <v>39</v>
      </c>
      <c r="BB12" s="139" t="s">
        <v>153</v>
      </c>
      <c r="BC12" s="139" t="s">
        <v>153</v>
      </c>
      <c r="BD12" s="139" t="s">
        <v>153</v>
      </c>
      <c r="BE12" s="139" t="s">
        <v>153</v>
      </c>
      <c r="BF12" s="139" t="s">
        <v>153</v>
      </c>
      <c r="BG12" s="139" t="s">
        <v>39</v>
      </c>
      <c r="BH12" s="139" t="s">
        <v>39</v>
      </c>
      <c r="BI12" s="139" t="s">
        <v>39</v>
      </c>
      <c r="BJ12" s="139" t="s">
        <v>39</v>
      </c>
      <c r="BK12" s="139" t="s">
        <v>39</v>
      </c>
    </row>
    <row r="13" spans="1:63" ht="17.25" customHeight="1" x14ac:dyDescent="0.45">
      <c r="A13" s="89" t="s">
        <v>173</v>
      </c>
      <c r="B13" s="107" t="s">
        <v>138</v>
      </c>
      <c r="C13" s="139" t="s">
        <v>39</v>
      </c>
      <c r="D13" s="139" t="s">
        <v>39</v>
      </c>
      <c r="E13" s="139" t="s">
        <v>39</v>
      </c>
      <c r="F13" s="139" t="s">
        <v>39</v>
      </c>
      <c r="G13" s="139" t="s">
        <v>39</v>
      </c>
      <c r="H13" s="139" t="s">
        <v>39</v>
      </c>
      <c r="I13" s="139" t="s">
        <v>216</v>
      </c>
      <c r="J13" s="142" t="s">
        <v>216</v>
      </c>
      <c r="K13" s="139" t="s">
        <v>216</v>
      </c>
      <c r="L13" s="139" t="s">
        <v>39</v>
      </c>
      <c r="M13" s="139" t="s">
        <v>216</v>
      </c>
      <c r="N13" s="139" t="s">
        <v>39</v>
      </c>
      <c r="O13" s="139" t="s">
        <v>39</v>
      </c>
      <c r="P13" s="139" t="s">
        <v>39</v>
      </c>
      <c r="Q13" s="139" t="s">
        <v>39</v>
      </c>
      <c r="R13" s="139" t="s">
        <v>39</v>
      </c>
      <c r="S13" s="139" t="s">
        <v>39</v>
      </c>
      <c r="T13" s="139" t="s">
        <v>39</v>
      </c>
      <c r="U13" s="139" t="s">
        <v>39</v>
      </c>
      <c r="V13" s="139" t="s">
        <v>39</v>
      </c>
      <c r="W13" s="139" t="s">
        <v>39</v>
      </c>
      <c r="X13" s="139" t="s">
        <v>39</v>
      </c>
      <c r="Y13" s="139" t="s">
        <v>39</v>
      </c>
      <c r="Z13" s="139" t="s">
        <v>216</v>
      </c>
      <c r="AA13" s="142" t="s">
        <v>216</v>
      </c>
      <c r="AB13" s="139" t="s">
        <v>216</v>
      </c>
      <c r="AC13" s="139" t="s">
        <v>39</v>
      </c>
      <c r="AD13" s="139" t="s">
        <v>216</v>
      </c>
      <c r="AE13" s="139" t="s">
        <v>39</v>
      </c>
      <c r="AF13" s="139" t="s">
        <v>39</v>
      </c>
      <c r="AG13" s="139" t="s">
        <v>39</v>
      </c>
      <c r="AH13" s="139" t="s">
        <v>39</v>
      </c>
      <c r="AI13" s="139" t="s">
        <v>39</v>
      </c>
      <c r="AJ13" s="139" t="s">
        <v>39</v>
      </c>
      <c r="AK13" s="139" t="s">
        <v>39</v>
      </c>
      <c r="AL13" s="139" t="s">
        <v>39</v>
      </c>
      <c r="AM13" s="139" t="s">
        <v>39</v>
      </c>
      <c r="AN13" s="139" t="s">
        <v>39</v>
      </c>
      <c r="AO13" s="139" t="s">
        <v>39</v>
      </c>
      <c r="AP13" s="139" t="s">
        <v>39</v>
      </c>
      <c r="AQ13" s="139" t="s">
        <v>216</v>
      </c>
      <c r="AR13" s="142" t="s">
        <v>216</v>
      </c>
      <c r="AS13" s="139" t="s">
        <v>216</v>
      </c>
      <c r="AT13" s="139" t="s">
        <v>39</v>
      </c>
      <c r="AU13" s="139" t="s">
        <v>216</v>
      </c>
      <c r="AV13" s="139" t="s">
        <v>39</v>
      </c>
      <c r="AW13" s="139" t="s">
        <v>39</v>
      </c>
      <c r="AX13" s="139" t="s">
        <v>39</v>
      </c>
      <c r="AY13" s="139" t="s">
        <v>39</v>
      </c>
      <c r="AZ13" s="139" t="s">
        <v>39</v>
      </c>
      <c r="BA13" s="139" t="s">
        <v>39</v>
      </c>
      <c r="BB13" s="139" t="s">
        <v>39</v>
      </c>
      <c r="BC13" s="139" t="s">
        <v>39</v>
      </c>
      <c r="BD13" s="139" t="s">
        <v>216</v>
      </c>
      <c r="BE13" s="139" t="s">
        <v>39</v>
      </c>
      <c r="BF13" s="139" t="s">
        <v>39</v>
      </c>
      <c r="BG13" s="139" t="s">
        <v>39</v>
      </c>
      <c r="BH13" s="139" t="s">
        <v>39</v>
      </c>
      <c r="BI13" s="139" t="s">
        <v>216</v>
      </c>
      <c r="BJ13" s="139" t="s">
        <v>39</v>
      </c>
      <c r="BK13" s="139" t="s">
        <v>39</v>
      </c>
    </row>
    <row r="14" spans="1:63" ht="17.25" customHeight="1" x14ac:dyDescent="0.45">
      <c r="A14" s="89" t="s">
        <v>167</v>
      </c>
      <c r="B14" s="107" t="s">
        <v>138</v>
      </c>
      <c r="C14" s="139" t="s">
        <v>39</v>
      </c>
      <c r="D14" s="139" t="s">
        <v>39</v>
      </c>
      <c r="E14" s="139" t="s">
        <v>39</v>
      </c>
      <c r="F14" s="139" t="s">
        <v>39</v>
      </c>
      <c r="G14" s="139" t="s">
        <v>39</v>
      </c>
      <c r="H14" s="139" t="s">
        <v>39</v>
      </c>
      <c r="I14" s="139" t="s">
        <v>39</v>
      </c>
      <c r="J14" s="142" t="s">
        <v>39</v>
      </c>
      <c r="K14" s="139" t="s">
        <v>39</v>
      </c>
      <c r="L14" s="139" t="s">
        <v>39</v>
      </c>
      <c r="M14" s="139" t="s">
        <v>39</v>
      </c>
      <c r="N14" s="139" t="s">
        <v>39</v>
      </c>
      <c r="O14" s="139" t="s">
        <v>39</v>
      </c>
      <c r="P14" s="139" t="s">
        <v>39</v>
      </c>
      <c r="Q14" s="139" t="s">
        <v>39</v>
      </c>
      <c r="R14" s="139" t="s">
        <v>39</v>
      </c>
      <c r="S14" s="139" t="s">
        <v>39</v>
      </c>
      <c r="T14" s="139" t="s">
        <v>153</v>
      </c>
      <c r="U14" s="139" t="s">
        <v>153</v>
      </c>
      <c r="V14" s="139" t="s">
        <v>153</v>
      </c>
      <c r="W14" s="139" t="s">
        <v>153</v>
      </c>
      <c r="X14" s="139" t="s">
        <v>153</v>
      </c>
      <c r="Y14" s="139" t="s">
        <v>153</v>
      </c>
      <c r="Z14" s="139" t="s">
        <v>153</v>
      </c>
      <c r="AA14" s="139" t="s">
        <v>153</v>
      </c>
      <c r="AB14" s="139" t="s">
        <v>153</v>
      </c>
      <c r="AC14" s="139" t="s">
        <v>153</v>
      </c>
      <c r="AD14" s="139" t="s">
        <v>153</v>
      </c>
      <c r="AE14" s="139" t="s">
        <v>153</v>
      </c>
      <c r="AF14" s="139" t="s">
        <v>153</v>
      </c>
      <c r="AG14" s="139" t="s">
        <v>153</v>
      </c>
      <c r="AH14" s="139" t="s">
        <v>153</v>
      </c>
      <c r="AI14" s="139" t="s">
        <v>153</v>
      </c>
      <c r="AJ14" s="139" t="s">
        <v>153</v>
      </c>
      <c r="AK14" s="139" t="s">
        <v>39</v>
      </c>
      <c r="AL14" s="139" t="s">
        <v>39</v>
      </c>
      <c r="AM14" s="139" t="s">
        <v>39</v>
      </c>
      <c r="AN14" s="139" t="s">
        <v>39</v>
      </c>
      <c r="AO14" s="139" t="s">
        <v>39</v>
      </c>
      <c r="AP14" s="139" t="s">
        <v>39</v>
      </c>
      <c r="AQ14" s="139" t="s">
        <v>39</v>
      </c>
      <c r="AR14" s="142" t="s">
        <v>39</v>
      </c>
      <c r="AS14" s="139" t="s">
        <v>39</v>
      </c>
      <c r="AT14" s="139" t="s">
        <v>39</v>
      </c>
      <c r="AU14" s="139" t="s">
        <v>39</v>
      </c>
      <c r="AV14" s="139" t="s">
        <v>39</v>
      </c>
      <c r="AW14" s="139" t="s">
        <v>39</v>
      </c>
      <c r="AX14" s="139" t="s">
        <v>39</v>
      </c>
      <c r="AY14" s="139" t="s">
        <v>39</v>
      </c>
      <c r="AZ14" s="139" t="s">
        <v>39</v>
      </c>
      <c r="BA14" s="139" t="s">
        <v>39</v>
      </c>
      <c r="BB14" s="139" t="s">
        <v>39</v>
      </c>
      <c r="BC14" s="139" t="s">
        <v>39</v>
      </c>
      <c r="BD14" s="139" t="s">
        <v>39</v>
      </c>
      <c r="BE14" s="139" t="s">
        <v>39</v>
      </c>
      <c r="BF14" s="139" t="s">
        <v>39</v>
      </c>
      <c r="BG14" s="139" t="s">
        <v>39</v>
      </c>
      <c r="BH14" s="139" t="s">
        <v>39</v>
      </c>
      <c r="BI14" s="139" t="s">
        <v>39</v>
      </c>
      <c r="BJ14" s="139" t="s">
        <v>39</v>
      </c>
      <c r="BK14" s="139" t="s">
        <v>39</v>
      </c>
    </row>
    <row r="15" spans="1:63" ht="17.25" customHeight="1" x14ac:dyDescent="0.45">
      <c r="A15" s="89" t="s">
        <v>174</v>
      </c>
      <c r="B15" s="107" t="s">
        <v>138</v>
      </c>
      <c r="C15" s="139" t="s">
        <v>39</v>
      </c>
      <c r="D15" s="139" t="s">
        <v>39</v>
      </c>
      <c r="E15" s="139" t="s">
        <v>39</v>
      </c>
      <c r="F15" s="139" t="s">
        <v>39</v>
      </c>
      <c r="G15" s="139" t="s">
        <v>39</v>
      </c>
      <c r="H15" s="139" t="s">
        <v>39</v>
      </c>
      <c r="I15" s="139" t="s">
        <v>39</v>
      </c>
      <c r="J15" s="142" t="s">
        <v>39</v>
      </c>
      <c r="K15" s="139" t="s">
        <v>39</v>
      </c>
      <c r="L15" s="139" t="s">
        <v>39</v>
      </c>
      <c r="M15" s="139" t="s">
        <v>39</v>
      </c>
      <c r="N15" s="139" t="s">
        <v>216</v>
      </c>
      <c r="O15" s="139" t="s">
        <v>39</v>
      </c>
      <c r="P15" s="139" t="s">
        <v>39</v>
      </c>
      <c r="Q15" s="139" t="s">
        <v>39</v>
      </c>
      <c r="R15" s="139" t="s">
        <v>39</v>
      </c>
      <c r="S15" s="139" t="s">
        <v>39</v>
      </c>
      <c r="T15" s="139" t="s">
        <v>39</v>
      </c>
      <c r="U15" s="139" t="s">
        <v>39</v>
      </c>
      <c r="V15" s="139" t="s">
        <v>39</v>
      </c>
      <c r="W15" s="139" t="s">
        <v>39</v>
      </c>
      <c r="X15" s="139" t="s">
        <v>39</v>
      </c>
      <c r="Y15" s="139" t="s">
        <v>39</v>
      </c>
      <c r="Z15" s="139" t="s">
        <v>39</v>
      </c>
      <c r="AA15" s="142" t="s">
        <v>39</v>
      </c>
      <c r="AB15" s="139" t="s">
        <v>39</v>
      </c>
      <c r="AC15" s="139" t="s">
        <v>39</v>
      </c>
      <c r="AD15" s="139" t="s">
        <v>39</v>
      </c>
      <c r="AE15" s="139" t="s">
        <v>216</v>
      </c>
      <c r="AF15" s="139" t="s">
        <v>39</v>
      </c>
      <c r="AG15" s="139" t="s">
        <v>39</v>
      </c>
      <c r="AH15" s="139" t="s">
        <v>39</v>
      </c>
      <c r="AI15" s="139" t="s">
        <v>39</v>
      </c>
      <c r="AJ15" s="139" t="s">
        <v>39</v>
      </c>
      <c r="AK15" s="139" t="s">
        <v>39</v>
      </c>
      <c r="AL15" s="139" t="s">
        <v>39</v>
      </c>
      <c r="AM15" s="139" t="s">
        <v>39</v>
      </c>
      <c r="AN15" s="139" t="s">
        <v>39</v>
      </c>
      <c r="AO15" s="139" t="s">
        <v>39</v>
      </c>
      <c r="AP15" s="139" t="s">
        <v>39</v>
      </c>
      <c r="AQ15" s="139" t="s">
        <v>39</v>
      </c>
      <c r="AR15" s="142" t="s">
        <v>39</v>
      </c>
      <c r="AS15" s="139" t="s">
        <v>39</v>
      </c>
      <c r="AT15" s="139" t="s">
        <v>39</v>
      </c>
      <c r="AU15" s="139" t="s">
        <v>39</v>
      </c>
      <c r="AV15" s="139" t="s">
        <v>216</v>
      </c>
      <c r="AW15" s="139" t="s">
        <v>39</v>
      </c>
      <c r="AX15" s="139" t="s">
        <v>39</v>
      </c>
      <c r="AY15" s="139" t="s">
        <v>39</v>
      </c>
      <c r="AZ15" s="139" t="s">
        <v>39</v>
      </c>
      <c r="BA15" s="139" t="s">
        <v>39</v>
      </c>
      <c r="BB15" s="139" t="s">
        <v>39</v>
      </c>
      <c r="BC15" s="139" t="s">
        <v>39</v>
      </c>
      <c r="BD15" s="139" t="s">
        <v>39</v>
      </c>
      <c r="BE15" s="139" t="s">
        <v>216</v>
      </c>
      <c r="BF15" s="139" t="s">
        <v>39</v>
      </c>
      <c r="BG15" s="139" t="s">
        <v>39</v>
      </c>
      <c r="BH15" s="139" t="s">
        <v>39</v>
      </c>
      <c r="BI15" s="139" t="s">
        <v>39</v>
      </c>
      <c r="BJ15" s="139" t="s">
        <v>216</v>
      </c>
      <c r="BK15" s="139" t="s">
        <v>39</v>
      </c>
    </row>
    <row r="16" spans="1:63" ht="17.25" customHeight="1" x14ac:dyDescent="0.45">
      <c r="A16" s="89" t="s">
        <v>168</v>
      </c>
      <c r="B16" s="107" t="s">
        <v>138</v>
      </c>
      <c r="C16" s="139" t="s">
        <v>39</v>
      </c>
      <c r="D16" s="139" t="s">
        <v>39</v>
      </c>
      <c r="E16" s="139" t="s">
        <v>39</v>
      </c>
      <c r="F16" s="139" t="s">
        <v>39</v>
      </c>
      <c r="G16" s="139" t="s">
        <v>39</v>
      </c>
      <c r="H16" s="139" t="s">
        <v>39</v>
      </c>
      <c r="I16" s="139" t="s">
        <v>39</v>
      </c>
      <c r="J16" s="142" t="s">
        <v>39</v>
      </c>
      <c r="K16" s="139" t="s">
        <v>39</v>
      </c>
      <c r="L16" s="139" t="s">
        <v>39</v>
      </c>
      <c r="M16" s="139" t="s">
        <v>39</v>
      </c>
      <c r="N16" s="139" t="s">
        <v>39</v>
      </c>
      <c r="O16" s="139" t="s">
        <v>39</v>
      </c>
      <c r="P16" s="139" t="s">
        <v>39</v>
      </c>
      <c r="Q16" s="139" t="s">
        <v>39</v>
      </c>
      <c r="R16" s="139" t="s">
        <v>39</v>
      </c>
      <c r="S16" s="139" t="s">
        <v>39</v>
      </c>
      <c r="T16" s="139" t="s">
        <v>153</v>
      </c>
      <c r="U16" s="139" t="s">
        <v>153</v>
      </c>
      <c r="V16" s="139" t="s">
        <v>153</v>
      </c>
      <c r="W16" s="139" t="s">
        <v>153</v>
      </c>
      <c r="X16" s="139" t="s">
        <v>153</v>
      </c>
      <c r="Y16" s="139" t="s">
        <v>153</v>
      </c>
      <c r="Z16" s="139" t="s">
        <v>153</v>
      </c>
      <c r="AA16" s="139" t="s">
        <v>153</v>
      </c>
      <c r="AB16" s="139" t="s">
        <v>153</v>
      </c>
      <c r="AC16" s="139" t="s">
        <v>153</v>
      </c>
      <c r="AD16" s="139" t="s">
        <v>153</v>
      </c>
      <c r="AE16" s="139" t="s">
        <v>153</v>
      </c>
      <c r="AF16" s="139" t="s">
        <v>153</v>
      </c>
      <c r="AG16" s="139" t="s">
        <v>153</v>
      </c>
      <c r="AH16" s="139" t="s">
        <v>153</v>
      </c>
      <c r="AI16" s="139" t="s">
        <v>153</v>
      </c>
      <c r="AJ16" s="139" t="s">
        <v>153</v>
      </c>
      <c r="AK16" s="139" t="s">
        <v>153</v>
      </c>
      <c r="AL16" s="139" t="s">
        <v>153</v>
      </c>
      <c r="AM16" s="139" t="s">
        <v>153</v>
      </c>
      <c r="AN16" s="139" t="s">
        <v>153</v>
      </c>
      <c r="AO16" s="139" t="s">
        <v>153</v>
      </c>
      <c r="AP16" s="139" t="s">
        <v>153</v>
      </c>
      <c r="AQ16" s="139" t="s">
        <v>153</v>
      </c>
      <c r="AR16" s="142" t="s">
        <v>153</v>
      </c>
      <c r="AS16" s="139" t="s">
        <v>153</v>
      </c>
      <c r="AT16" s="139" t="s">
        <v>153</v>
      </c>
      <c r="AU16" s="139" t="s">
        <v>153</v>
      </c>
      <c r="AV16" s="139" t="s">
        <v>153</v>
      </c>
      <c r="AW16" s="139" t="s">
        <v>153</v>
      </c>
      <c r="AX16" s="139" t="s">
        <v>153</v>
      </c>
      <c r="AY16" s="139" t="s">
        <v>153</v>
      </c>
      <c r="AZ16" s="139" t="s">
        <v>153</v>
      </c>
      <c r="BA16" s="139" t="s">
        <v>153</v>
      </c>
      <c r="BB16" s="139" t="s">
        <v>39</v>
      </c>
      <c r="BC16" s="139" t="s">
        <v>39</v>
      </c>
      <c r="BD16" s="139" t="s">
        <v>39</v>
      </c>
      <c r="BE16" s="139" t="s">
        <v>39</v>
      </c>
      <c r="BF16" s="139" t="s">
        <v>39</v>
      </c>
      <c r="BG16" s="139" t="s">
        <v>153</v>
      </c>
      <c r="BH16" s="139" t="s">
        <v>153</v>
      </c>
      <c r="BI16" s="139" t="s">
        <v>153</v>
      </c>
      <c r="BJ16" s="139" t="s">
        <v>153</v>
      </c>
      <c r="BK16" s="139" t="s">
        <v>153</v>
      </c>
    </row>
    <row r="17" spans="1:63" ht="17.25" customHeight="1" x14ac:dyDescent="0.45">
      <c r="A17" s="89" t="s">
        <v>228</v>
      </c>
      <c r="B17" s="107" t="s">
        <v>138</v>
      </c>
      <c r="C17" s="139" t="s">
        <v>39</v>
      </c>
      <c r="D17" s="139" t="s">
        <v>39</v>
      </c>
      <c r="E17" s="139" t="s">
        <v>39</v>
      </c>
      <c r="F17" s="139" t="s">
        <v>39</v>
      </c>
      <c r="G17" s="139" t="s">
        <v>39</v>
      </c>
      <c r="H17" s="139" t="s">
        <v>39</v>
      </c>
      <c r="I17" s="139" t="s">
        <v>216</v>
      </c>
      <c r="J17" s="142" t="s">
        <v>39</v>
      </c>
      <c r="K17" s="139" t="s">
        <v>39</v>
      </c>
      <c r="L17" s="139" t="s">
        <v>39</v>
      </c>
      <c r="M17" s="139" t="s">
        <v>216</v>
      </c>
      <c r="N17" s="139" t="s">
        <v>39</v>
      </c>
      <c r="O17" s="139" t="s">
        <v>39</v>
      </c>
      <c r="P17" s="139" t="s">
        <v>39</v>
      </c>
      <c r="Q17" s="139" t="s">
        <v>39</v>
      </c>
      <c r="R17" s="139" t="s">
        <v>39</v>
      </c>
      <c r="S17" s="139" t="s">
        <v>39</v>
      </c>
      <c r="T17" s="139" t="s">
        <v>39</v>
      </c>
      <c r="U17" s="139" t="s">
        <v>39</v>
      </c>
      <c r="V17" s="139" t="s">
        <v>39</v>
      </c>
      <c r="W17" s="139" t="s">
        <v>39</v>
      </c>
      <c r="X17" s="139" t="s">
        <v>39</v>
      </c>
      <c r="Y17" s="139" t="s">
        <v>39</v>
      </c>
      <c r="Z17" s="139" t="s">
        <v>216</v>
      </c>
      <c r="AA17" s="142" t="s">
        <v>39</v>
      </c>
      <c r="AB17" s="139" t="s">
        <v>39</v>
      </c>
      <c r="AC17" s="139" t="s">
        <v>39</v>
      </c>
      <c r="AD17" s="139" t="s">
        <v>216</v>
      </c>
      <c r="AE17" s="139" t="s">
        <v>39</v>
      </c>
      <c r="AF17" s="139" t="s">
        <v>39</v>
      </c>
      <c r="AG17" s="139" t="s">
        <v>39</v>
      </c>
      <c r="AH17" s="139" t="s">
        <v>39</v>
      </c>
      <c r="AI17" s="139" t="s">
        <v>39</v>
      </c>
      <c r="AJ17" s="139" t="s">
        <v>39</v>
      </c>
      <c r="AK17" s="139" t="s">
        <v>39</v>
      </c>
      <c r="AL17" s="139" t="s">
        <v>39</v>
      </c>
      <c r="AM17" s="139" t="s">
        <v>39</v>
      </c>
      <c r="AN17" s="139" t="s">
        <v>39</v>
      </c>
      <c r="AO17" s="139" t="s">
        <v>39</v>
      </c>
      <c r="AP17" s="139" t="s">
        <v>39</v>
      </c>
      <c r="AQ17" s="139" t="s">
        <v>216</v>
      </c>
      <c r="AR17" s="142" t="s">
        <v>39</v>
      </c>
      <c r="AS17" s="139" t="s">
        <v>39</v>
      </c>
      <c r="AT17" s="139" t="s">
        <v>39</v>
      </c>
      <c r="AU17" s="139" t="s">
        <v>216</v>
      </c>
      <c r="AV17" s="139" t="s">
        <v>39</v>
      </c>
      <c r="AW17" s="139" t="s">
        <v>39</v>
      </c>
      <c r="AX17" s="139" t="s">
        <v>39</v>
      </c>
      <c r="AY17" s="139" t="s">
        <v>39</v>
      </c>
      <c r="AZ17" s="139" t="s">
        <v>39</v>
      </c>
      <c r="BA17" s="139" t="s">
        <v>39</v>
      </c>
      <c r="BB17" s="139" t="s">
        <v>39</v>
      </c>
      <c r="BC17" s="139" t="s">
        <v>39</v>
      </c>
      <c r="BD17" s="139" t="s">
        <v>216</v>
      </c>
      <c r="BE17" s="139" t="s">
        <v>39</v>
      </c>
      <c r="BF17" s="139" t="s">
        <v>39</v>
      </c>
      <c r="BG17" s="139" t="s">
        <v>39</v>
      </c>
      <c r="BH17" s="139" t="s">
        <v>39</v>
      </c>
      <c r="BI17" s="139" t="s">
        <v>216</v>
      </c>
      <c r="BJ17" s="139" t="s">
        <v>39</v>
      </c>
      <c r="BK17" s="139" t="s">
        <v>39</v>
      </c>
    </row>
    <row r="18" spans="1:63" ht="17.25" customHeight="1" x14ac:dyDescent="0.45">
      <c r="A18" s="89" t="s">
        <v>227</v>
      </c>
      <c r="B18" s="107" t="s">
        <v>138</v>
      </c>
      <c r="C18" s="139" t="s">
        <v>39</v>
      </c>
      <c r="D18" s="139" t="s">
        <v>39</v>
      </c>
      <c r="E18" s="139" t="s">
        <v>39</v>
      </c>
      <c r="F18" s="139" t="s">
        <v>39</v>
      </c>
      <c r="G18" s="139" t="s">
        <v>39</v>
      </c>
      <c r="H18" s="139" t="s">
        <v>39</v>
      </c>
      <c r="I18" s="139" t="s">
        <v>39</v>
      </c>
      <c r="J18" s="142" t="s">
        <v>39</v>
      </c>
      <c r="K18" s="139" t="s">
        <v>39</v>
      </c>
      <c r="L18" s="139" t="s">
        <v>39</v>
      </c>
      <c r="M18" s="139" t="s">
        <v>39</v>
      </c>
      <c r="N18" s="139" t="s">
        <v>39</v>
      </c>
      <c r="O18" s="139" t="s">
        <v>39</v>
      </c>
      <c r="P18" s="139" t="s">
        <v>39</v>
      </c>
      <c r="Q18" s="139" t="s">
        <v>39</v>
      </c>
      <c r="R18" s="139" t="s">
        <v>39</v>
      </c>
      <c r="S18" s="139" t="s">
        <v>39</v>
      </c>
      <c r="T18" s="139" t="s">
        <v>153</v>
      </c>
      <c r="U18" s="139" t="s">
        <v>153</v>
      </c>
      <c r="V18" s="139" t="s">
        <v>153</v>
      </c>
      <c r="W18" s="139" t="s">
        <v>153</v>
      </c>
      <c r="X18" s="139" t="s">
        <v>153</v>
      </c>
      <c r="Y18" s="139" t="s">
        <v>153</v>
      </c>
      <c r="Z18" s="139" t="s">
        <v>153</v>
      </c>
      <c r="AA18" s="139" t="s">
        <v>153</v>
      </c>
      <c r="AB18" s="139" t="s">
        <v>153</v>
      </c>
      <c r="AC18" s="139" t="s">
        <v>153</v>
      </c>
      <c r="AD18" s="139" t="s">
        <v>153</v>
      </c>
      <c r="AE18" s="139" t="s">
        <v>153</v>
      </c>
      <c r="AF18" s="139" t="s">
        <v>153</v>
      </c>
      <c r="AG18" s="139" t="s">
        <v>153</v>
      </c>
      <c r="AH18" s="139" t="s">
        <v>153</v>
      </c>
      <c r="AI18" s="139" t="s">
        <v>153</v>
      </c>
      <c r="AJ18" s="139" t="s">
        <v>153</v>
      </c>
      <c r="AK18" s="139" t="s">
        <v>153</v>
      </c>
      <c r="AL18" s="139" t="s">
        <v>153</v>
      </c>
      <c r="AM18" s="139" t="s">
        <v>153</v>
      </c>
      <c r="AN18" s="139" t="s">
        <v>153</v>
      </c>
      <c r="AO18" s="139" t="s">
        <v>153</v>
      </c>
      <c r="AP18" s="139" t="s">
        <v>153</v>
      </c>
      <c r="AQ18" s="139" t="s">
        <v>153</v>
      </c>
      <c r="AR18" s="142" t="s">
        <v>153</v>
      </c>
      <c r="AS18" s="139" t="s">
        <v>153</v>
      </c>
      <c r="AT18" s="139" t="s">
        <v>153</v>
      </c>
      <c r="AU18" s="139" t="s">
        <v>153</v>
      </c>
      <c r="AV18" s="139" t="s">
        <v>153</v>
      </c>
      <c r="AW18" s="139" t="s">
        <v>153</v>
      </c>
      <c r="AX18" s="139" t="s">
        <v>153</v>
      </c>
      <c r="AY18" s="139" t="s">
        <v>153</v>
      </c>
      <c r="AZ18" s="139" t="s">
        <v>153</v>
      </c>
      <c r="BA18" s="139" t="s">
        <v>153</v>
      </c>
      <c r="BB18" s="139" t="s">
        <v>39</v>
      </c>
      <c r="BC18" s="139" t="s">
        <v>39</v>
      </c>
      <c r="BD18" s="139" t="s">
        <v>39</v>
      </c>
      <c r="BE18" s="139" t="s">
        <v>39</v>
      </c>
      <c r="BF18" s="139" t="s">
        <v>39</v>
      </c>
      <c r="BG18" s="139" t="s">
        <v>153</v>
      </c>
      <c r="BH18" s="139" t="s">
        <v>153</v>
      </c>
      <c r="BI18" s="139" t="s">
        <v>153</v>
      </c>
      <c r="BJ18" s="139" t="s">
        <v>153</v>
      </c>
      <c r="BK18" s="139" t="s">
        <v>153</v>
      </c>
    </row>
    <row r="19" spans="1:63" ht="17.25" customHeight="1" x14ac:dyDescent="0.45">
      <c r="A19" s="89" t="s">
        <v>175</v>
      </c>
      <c r="B19" s="107" t="s">
        <v>138</v>
      </c>
      <c r="C19" s="139" t="s">
        <v>39</v>
      </c>
      <c r="D19" s="139" t="s">
        <v>39</v>
      </c>
      <c r="E19" s="139" t="s">
        <v>39</v>
      </c>
      <c r="F19" s="139" t="s">
        <v>39</v>
      </c>
      <c r="G19" s="139" t="s">
        <v>39</v>
      </c>
      <c r="H19" s="139" t="s">
        <v>39</v>
      </c>
      <c r="I19" s="139" t="s">
        <v>39</v>
      </c>
      <c r="J19" s="142" t="s">
        <v>216</v>
      </c>
      <c r="K19" s="139" t="s">
        <v>216</v>
      </c>
      <c r="L19" s="139" t="s">
        <v>216</v>
      </c>
      <c r="M19" s="139" t="s">
        <v>39</v>
      </c>
      <c r="N19" s="139" t="s">
        <v>39</v>
      </c>
      <c r="O19" s="139" t="s">
        <v>216</v>
      </c>
      <c r="P19" s="139" t="s">
        <v>39</v>
      </c>
      <c r="Q19" s="139" t="s">
        <v>39</v>
      </c>
      <c r="R19" s="139" t="s">
        <v>39</v>
      </c>
      <c r="S19" s="139" t="s">
        <v>39</v>
      </c>
      <c r="T19" s="139" t="s">
        <v>39</v>
      </c>
      <c r="U19" s="139" t="s">
        <v>39</v>
      </c>
      <c r="V19" s="139" t="s">
        <v>39</v>
      </c>
      <c r="W19" s="139" t="s">
        <v>39</v>
      </c>
      <c r="X19" s="139" t="s">
        <v>39</v>
      </c>
      <c r="Y19" s="139" t="s">
        <v>39</v>
      </c>
      <c r="Z19" s="139" t="s">
        <v>39</v>
      </c>
      <c r="AA19" s="142" t="s">
        <v>216</v>
      </c>
      <c r="AB19" s="139" t="s">
        <v>216</v>
      </c>
      <c r="AC19" s="139" t="s">
        <v>216</v>
      </c>
      <c r="AD19" s="139" t="s">
        <v>39</v>
      </c>
      <c r="AE19" s="139" t="s">
        <v>39</v>
      </c>
      <c r="AF19" s="139" t="s">
        <v>216</v>
      </c>
      <c r="AG19" s="139" t="s">
        <v>39</v>
      </c>
      <c r="AH19" s="139" t="s">
        <v>39</v>
      </c>
      <c r="AI19" s="139" t="s">
        <v>39</v>
      </c>
      <c r="AJ19" s="139" t="s">
        <v>39</v>
      </c>
      <c r="AK19" s="139" t="s">
        <v>39</v>
      </c>
      <c r="AL19" s="139" t="s">
        <v>39</v>
      </c>
      <c r="AM19" s="139" t="s">
        <v>39</v>
      </c>
      <c r="AN19" s="139" t="s">
        <v>39</v>
      </c>
      <c r="AO19" s="139" t="s">
        <v>39</v>
      </c>
      <c r="AP19" s="139" t="s">
        <v>39</v>
      </c>
      <c r="AQ19" s="139" t="s">
        <v>39</v>
      </c>
      <c r="AR19" s="142" t="s">
        <v>216</v>
      </c>
      <c r="AS19" s="139" t="s">
        <v>216</v>
      </c>
      <c r="AT19" s="139" t="s">
        <v>216</v>
      </c>
      <c r="AU19" s="139" t="s">
        <v>39</v>
      </c>
      <c r="AV19" s="139" t="s">
        <v>39</v>
      </c>
      <c r="AW19" s="139" t="s">
        <v>216</v>
      </c>
      <c r="AX19" s="139" t="s">
        <v>39</v>
      </c>
      <c r="AY19" s="139" t="s">
        <v>39</v>
      </c>
      <c r="AZ19" s="139" t="s">
        <v>39</v>
      </c>
      <c r="BA19" s="139" t="s">
        <v>39</v>
      </c>
      <c r="BB19" s="139" t="s">
        <v>39</v>
      </c>
      <c r="BC19" s="139" t="s">
        <v>39</v>
      </c>
      <c r="BD19" s="139" t="s">
        <v>39</v>
      </c>
      <c r="BE19" s="139" t="s">
        <v>39</v>
      </c>
      <c r="BF19" s="139" t="s">
        <v>39</v>
      </c>
      <c r="BG19" s="139" t="s">
        <v>39</v>
      </c>
      <c r="BH19" s="139" t="s">
        <v>39</v>
      </c>
      <c r="BI19" s="139" t="s">
        <v>39</v>
      </c>
      <c r="BJ19" s="139" t="s">
        <v>39</v>
      </c>
      <c r="BK19" s="139" t="s">
        <v>39</v>
      </c>
    </row>
    <row r="20" spans="1:63" ht="17.25" customHeight="1" thickBot="1" x14ac:dyDescent="0.5">
      <c r="A20" s="118" t="s">
        <v>169</v>
      </c>
      <c r="B20" s="119" t="s">
        <v>138</v>
      </c>
      <c r="C20" s="140" t="s">
        <v>39</v>
      </c>
      <c r="D20" s="140" t="s">
        <v>39</v>
      </c>
      <c r="E20" s="140" t="s">
        <v>39</v>
      </c>
      <c r="F20" s="140" t="s">
        <v>39</v>
      </c>
      <c r="G20" s="140" t="s">
        <v>39</v>
      </c>
      <c r="H20" s="140" t="s">
        <v>39</v>
      </c>
      <c r="I20" s="140" t="s">
        <v>39</v>
      </c>
      <c r="J20" s="144" t="s">
        <v>39</v>
      </c>
      <c r="K20" s="140" t="s">
        <v>39</v>
      </c>
      <c r="L20" s="140" t="s">
        <v>39</v>
      </c>
      <c r="M20" s="140" t="s">
        <v>39</v>
      </c>
      <c r="N20" s="140" t="s">
        <v>39</v>
      </c>
      <c r="O20" s="140" t="s">
        <v>39</v>
      </c>
      <c r="P20" s="140" t="s">
        <v>39</v>
      </c>
      <c r="Q20" s="140" t="s">
        <v>39</v>
      </c>
      <c r="R20" s="140" t="s">
        <v>39</v>
      </c>
      <c r="S20" s="140" t="s">
        <v>39</v>
      </c>
      <c r="T20" s="140" t="s">
        <v>153</v>
      </c>
      <c r="U20" s="140" t="s">
        <v>153</v>
      </c>
      <c r="V20" s="140" t="s">
        <v>153</v>
      </c>
      <c r="W20" s="140" t="s">
        <v>153</v>
      </c>
      <c r="X20" s="140" t="s">
        <v>153</v>
      </c>
      <c r="Y20" s="140" t="s">
        <v>153</v>
      </c>
      <c r="Z20" s="140" t="s">
        <v>153</v>
      </c>
      <c r="AA20" s="140" t="s">
        <v>153</v>
      </c>
      <c r="AB20" s="140" t="s">
        <v>153</v>
      </c>
      <c r="AC20" s="140" t="s">
        <v>153</v>
      </c>
      <c r="AD20" s="140" t="s">
        <v>153</v>
      </c>
      <c r="AE20" s="140" t="s">
        <v>153</v>
      </c>
      <c r="AF20" s="140" t="s">
        <v>153</v>
      </c>
      <c r="AG20" s="140" t="s">
        <v>153</v>
      </c>
      <c r="AH20" s="140" t="s">
        <v>153</v>
      </c>
      <c r="AI20" s="140" t="s">
        <v>153</v>
      </c>
      <c r="AJ20" s="140" t="s">
        <v>153</v>
      </c>
      <c r="AK20" s="140" t="s">
        <v>39</v>
      </c>
      <c r="AL20" s="140" t="s">
        <v>39</v>
      </c>
      <c r="AM20" s="140" t="s">
        <v>39</v>
      </c>
      <c r="AN20" s="140" t="s">
        <v>39</v>
      </c>
      <c r="AO20" s="140" t="s">
        <v>39</v>
      </c>
      <c r="AP20" s="140" t="s">
        <v>39</v>
      </c>
      <c r="AQ20" s="140" t="s">
        <v>39</v>
      </c>
      <c r="AR20" s="144" t="s">
        <v>39</v>
      </c>
      <c r="AS20" s="140" t="s">
        <v>39</v>
      </c>
      <c r="AT20" s="140" t="s">
        <v>39</v>
      </c>
      <c r="AU20" s="140" t="s">
        <v>39</v>
      </c>
      <c r="AV20" s="140" t="s">
        <v>39</v>
      </c>
      <c r="AW20" s="140" t="s">
        <v>39</v>
      </c>
      <c r="AX20" s="140" t="s">
        <v>39</v>
      </c>
      <c r="AY20" s="140" t="s">
        <v>39</v>
      </c>
      <c r="AZ20" s="140" t="s">
        <v>39</v>
      </c>
      <c r="BA20" s="140" t="s">
        <v>39</v>
      </c>
      <c r="BB20" s="140" t="s">
        <v>39</v>
      </c>
      <c r="BC20" s="140" t="s">
        <v>39</v>
      </c>
      <c r="BD20" s="140" t="s">
        <v>39</v>
      </c>
      <c r="BE20" s="140" t="s">
        <v>39</v>
      </c>
      <c r="BF20" s="140" t="s">
        <v>39</v>
      </c>
      <c r="BG20" s="140" t="s">
        <v>39</v>
      </c>
      <c r="BH20" s="140" t="s">
        <v>39</v>
      </c>
      <c r="BI20" s="140" t="s">
        <v>39</v>
      </c>
      <c r="BJ20" s="140" t="s">
        <v>39</v>
      </c>
      <c r="BK20" s="140" t="s">
        <v>39</v>
      </c>
    </row>
    <row r="21" spans="1:63" ht="17.25" customHeight="1" x14ac:dyDescent="0.45">
      <c r="A21" s="120" t="s">
        <v>212</v>
      </c>
      <c r="B21" s="121" t="s">
        <v>138</v>
      </c>
      <c r="C21" s="129" t="s">
        <v>39</v>
      </c>
      <c r="D21" s="129" t="s">
        <v>39</v>
      </c>
      <c r="E21" s="129" t="s">
        <v>39</v>
      </c>
      <c r="F21" s="129" t="s">
        <v>39</v>
      </c>
      <c r="G21" s="129" t="s">
        <v>39</v>
      </c>
      <c r="H21" s="129" t="s">
        <v>39</v>
      </c>
      <c r="I21" s="129" t="s">
        <v>39</v>
      </c>
      <c r="J21" s="143" t="s">
        <v>39</v>
      </c>
      <c r="K21" s="129" t="s">
        <v>39</v>
      </c>
      <c r="L21" s="129" t="s">
        <v>216</v>
      </c>
      <c r="M21" s="129" t="s">
        <v>39</v>
      </c>
      <c r="N21" s="129" t="s">
        <v>39</v>
      </c>
      <c r="O21" s="129" t="s">
        <v>216</v>
      </c>
      <c r="P21" s="129" t="s">
        <v>216</v>
      </c>
      <c r="Q21" s="129" t="s">
        <v>39</v>
      </c>
      <c r="R21" s="129" t="s">
        <v>39</v>
      </c>
      <c r="S21" s="129" t="s">
        <v>39</v>
      </c>
      <c r="T21" s="129" t="s">
        <v>39</v>
      </c>
      <c r="U21" s="129" t="s">
        <v>39</v>
      </c>
      <c r="V21" s="129" t="s">
        <v>39</v>
      </c>
      <c r="W21" s="129" t="s">
        <v>39</v>
      </c>
      <c r="X21" s="129" t="s">
        <v>39</v>
      </c>
      <c r="Y21" s="129" t="s">
        <v>39</v>
      </c>
      <c r="Z21" s="129" t="s">
        <v>39</v>
      </c>
      <c r="AA21" s="143" t="s">
        <v>39</v>
      </c>
      <c r="AB21" s="129" t="s">
        <v>39</v>
      </c>
      <c r="AC21" s="129" t="s">
        <v>216</v>
      </c>
      <c r="AD21" s="129" t="s">
        <v>39</v>
      </c>
      <c r="AE21" s="129" t="s">
        <v>39</v>
      </c>
      <c r="AF21" s="129" t="s">
        <v>216</v>
      </c>
      <c r="AG21" s="129" t="s">
        <v>216</v>
      </c>
      <c r="AH21" s="129" t="s">
        <v>39</v>
      </c>
      <c r="AI21" s="129" t="s">
        <v>39</v>
      </c>
      <c r="AJ21" s="129" t="s">
        <v>39</v>
      </c>
      <c r="AK21" s="129" t="s">
        <v>39</v>
      </c>
      <c r="AL21" s="129" t="s">
        <v>39</v>
      </c>
      <c r="AM21" s="129" t="s">
        <v>39</v>
      </c>
      <c r="AN21" s="129" t="s">
        <v>39</v>
      </c>
      <c r="AO21" s="129" t="s">
        <v>39</v>
      </c>
      <c r="AP21" s="129" t="s">
        <v>39</v>
      </c>
      <c r="AQ21" s="129" t="s">
        <v>39</v>
      </c>
      <c r="AR21" s="143" t="s">
        <v>39</v>
      </c>
      <c r="AS21" s="129" t="s">
        <v>39</v>
      </c>
      <c r="AT21" s="129" t="s">
        <v>216</v>
      </c>
      <c r="AU21" s="129" t="s">
        <v>39</v>
      </c>
      <c r="AV21" s="129" t="s">
        <v>39</v>
      </c>
      <c r="AW21" s="129" t="s">
        <v>216</v>
      </c>
      <c r="AX21" s="129" t="s">
        <v>216</v>
      </c>
      <c r="AY21" s="129" t="s">
        <v>39</v>
      </c>
      <c r="AZ21" s="129" t="s">
        <v>39</v>
      </c>
      <c r="BA21" s="129" t="s">
        <v>39</v>
      </c>
      <c r="BB21" s="129" t="s">
        <v>39</v>
      </c>
      <c r="BC21" s="129" t="s">
        <v>39</v>
      </c>
      <c r="BD21" s="129" t="s">
        <v>39</v>
      </c>
      <c r="BE21" s="129" t="s">
        <v>39</v>
      </c>
      <c r="BF21" s="129" t="s">
        <v>216</v>
      </c>
      <c r="BG21" s="129" t="s">
        <v>39</v>
      </c>
      <c r="BH21" s="129" t="s">
        <v>39</v>
      </c>
      <c r="BI21" s="129" t="s">
        <v>39</v>
      </c>
      <c r="BJ21" s="129" t="s">
        <v>39</v>
      </c>
      <c r="BK21" s="129" t="s">
        <v>216</v>
      </c>
    </row>
    <row r="22" spans="1:63" ht="17.25" customHeight="1" x14ac:dyDescent="0.45">
      <c r="A22" s="122" t="s">
        <v>211</v>
      </c>
      <c r="B22" s="123" t="s">
        <v>138</v>
      </c>
      <c r="C22" s="130" t="s">
        <v>39</v>
      </c>
      <c r="D22" s="130" t="s">
        <v>39</v>
      </c>
      <c r="E22" s="130" t="s">
        <v>39</v>
      </c>
      <c r="F22" s="130" t="s">
        <v>39</v>
      </c>
      <c r="G22" s="130" t="s">
        <v>39</v>
      </c>
      <c r="H22" s="130" t="s">
        <v>39</v>
      </c>
      <c r="I22" s="130" t="s">
        <v>39</v>
      </c>
      <c r="J22" s="145" t="s">
        <v>39</v>
      </c>
      <c r="K22" s="130" t="s">
        <v>39</v>
      </c>
      <c r="L22" s="130" t="s">
        <v>39</v>
      </c>
      <c r="M22" s="130" t="s">
        <v>39</v>
      </c>
      <c r="N22" s="130" t="s">
        <v>39</v>
      </c>
      <c r="O22" s="130" t="s">
        <v>39</v>
      </c>
      <c r="P22" s="130" t="s">
        <v>39</v>
      </c>
      <c r="Q22" s="130" t="s">
        <v>39</v>
      </c>
      <c r="R22" s="130" t="s">
        <v>39</v>
      </c>
      <c r="S22" s="130" t="s">
        <v>39</v>
      </c>
      <c r="T22" s="130" t="s">
        <v>153</v>
      </c>
      <c r="U22" s="130" t="s">
        <v>153</v>
      </c>
      <c r="V22" s="130" t="s">
        <v>153</v>
      </c>
      <c r="W22" s="130" t="s">
        <v>153</v>
      </c>
      <c r="X22" s="130" t="s">
        <v>153</v>
      </c>
      <c r="Y22" s="130" t="s">
        <v>153</v>
      </c>
      <c r="Z22" s="130" t="s">
        <v>153</v>
      </c>
      <c r="AA22" s="130" t="s">
        <v>153</v>
      </c>
      <c r="AB22" s="130" t="s">
        <v>153</v>
      </c>
      <c r="AC22" s="130" t="s">
        <v>153</v>
      </c>
      <c r="AD22" s="130" t="s">
        <v>153</v>
      </c>
      <c r="AE22" s="130" t="s">
        <v>153</v>
      </c>
      <c r="AF22" s="130" t="s">
        <v>153</v>
      </c>
      <c r="AG22" s="130" t="s">
        <v>153</v>
      </c>
      <c r="AH22" s="130" t="s">
        <v>153</v>
      </c>
      <c r="AI22" s="130" t="s">
        <v>153</v>
      </c>
      <c r="AJ22" s="130" t="s">
        <v>153</v>
      </c>
      <c r="AK22" s="130" t="s">
        <v>39</v>
      </c>
      <c r="AL22" s="130" t="s">
        <v>39</v>
      </c>
      <c r="AM22" s="130" t="s">
        <v>39</v>
      </c>
      <c r="AN22" s="130" t="s">
        <v>39</v>
      </c>
      <c r="AO22" s="130" t="s">
        <v>39</v>
      </c>
      <c r="AP22" s="130" t="s">
        <v>39</v>
      </c>
      <c r="AQ22" s="130" t="s">
        <v>39</v>
      </c>
      <c r="AR22" s="145" t="s">
        <v>39</v>
      </c>
      <c r="AS22" s="130" t="s">
        <v>39</v>
      </c>
      <c r="AT22" s="130" t="s">
        <v>39</v>
      </c>
      <c r="AU22" s="130" t="s">
        <v>39</v>
      </c>
      <c r="AV22" s="130" t="s">
        <v>39</v>
      </c>
      <c r="AW22" s="130" t="s">
        <v>39</v>
      </c>
      <c r="AX22" s="130" t="s">
        <v>39</v>
      </c>
      <c r="AY22" s="130" t="s">
        <v>39</v>
      </c>
      <c r="AZ22" s="130" t="s">
        <v>39</v>
      </c>
      <c r="BA22" s="130" t="s">
        <v>39</v>
      </c>
      <c r="BB22" s="130" t="s">
        <v>39</v>
      </c>
      <c r="BC22" s="130" t="s">
        <v>39</v>
      </c>
      <c r="BD22" s="130" t="s">
        <v>39</v>
      </c>
      <c r="BE22" s="130" t="s">
        <v>39</v>
      </c>
      <c r="BF22" s="130" t="s">
        <v>39</v>
      </c>
      <c r="BG22" s="130" t="s">
        <v>39</v>
      </c>
      <c r="BH22" s="130" t="s">
        <v>39</v>
      </c>
      <c r="BI22" s="130" t="s">
        <v>39</v>
      </c>
      <c r="BJ22" s="130" t="s">
        <v>39</v>
      </c>
      <c r="BK22" s="130" t="s">
        <v>39</v>
      </c>
    </row>
    <row r="23" spans="1:63" ht="17.25" customHeight="1" thickBot="1" x14ac:dyDescent="0.5">
      <c r="A23" s="125" t="s">
        <v>213</v>
      </c>
      <c r="B23" s="126" t="s">
        <v>138</v>
      </c>
      <c r="C23" s="131" t="s">
        <v>153</v>
      </c>
      <c r="D23" s="131" t="s">
        <v>153</v>
      </c>
      <c r="E23" s="131" t="s">
        <v>153</v>
      </c>
      <c r="F23" s="131" t="s">
        <v>153</v>
      </c>
      <c r="G23" s="131" t="s">
        <v>153</v>
      </c>
      <c r="H23" s="131" t="s">
        <v>153</v>
      </c>
      <c r="I23" s="131" t="s">
        <v>153</v>
      </c>
      <c r="J23" s="146" t="s">
        <v>153</v>
      </c>
      <c r="K23" s="131" t="s">
        <v>153</v>
      </c>
      <c r="L23" s="131" t="s">
        <v>153</v>
      </c>
      <c r="M23" s="131" t="s">
        <v>153</v>
      </c>
      <c r="N23" s="131" t="s">
        <v>153</v>
      </c>
      <c r="O23" s="131" t="s">
        <v>153</v>
      </c>
      <c r="P23" s="131" t="s">
        <v>153</v>
      </c>
      <c r="Q23" s="131" t="s">
        <v>153</v>
      </c>
      <c r="R23" s="131" t="s">
        <v>153</v>
      </c>
      <c r="S23" s="131" t="s">
        <v>153</v>
      </c>
      <c r="T23" s="131" t="s">
        <v>39</v>
      </c>
      <c r="U23" s="131" t="s">
        <v>39</v>
      </c>
      <c r="V23" s="131" t="s">
        <v>39</v>
      </c>
      <c r="W23" s="131" t="s">
        <v>39</v>
      </c>
      <c r="X23" s="131" t="s">
        <v>39</v>
      </c>
      <c r="Y23" s="131" t="s">
        <v>39</v>
      </c>
      <c r="Z23" s="131" t="s">
        <v>39</v>
      </c>
      <c r="AA23" s="131" t="s">
        <v>39</v>
      </c>
      <c r="AB23" s="131" t="s">
        <v>39</v>
      </c>
      <c r="AC23" s="131" t="s">
        <v>39</v>
      </c>
      <c r="AD23" s="131" t="s">
        <v>39</v>
      </c>
      <c r="AE23" s="131" t="s">
        <v>39</v>
      </c>
      <c r="AF23" s="131" t="s">
        <v>39</v>
      </c>
      <c r="AG23" s="131" t="s">
        <v>216</v>
      </c>
      <c r="AH23" s="131" t="s">
        <v>39</v>
      </c>
      <c r="AI23" s="131" t="s">
        <v>39</v>
      </c>
      <c r="AJ23" s="131" t="s">
        <v>39</v>
      </c>
      <c r="AK23" s="131" t="s">
        <v>153</v>
      </c>
      <c r="AL23" s="131" t="s">
        <v>153</v>
      </c>
      <c r="AM23" s="131" t="s">
        <v>153</v>
      </c>
      <c r="AN23" s="131" t="s">
        <v>153</v>
      </c>
      <c r="AO23" s="131" t="s">
        <v>153</v>
      </c>
      <c r="AP23" s="131" t="s">
        <v>153</v>
      </c>
      <c r="AQ23" s="131" t="s">
        <v>153</v>
      </c>
      <c r="AR23" s="146" t="s">
        <v>153</v>
      </c>
      <c r="AS23" s="131" t="s">
        <v>153</v>
      </c>
      <c r="AT23" s="131" t="s">
        <v>153</v>
      </c>
      <c r="AU23" s="131" t="s">
        <v>153</v>
      </c>
      <c r="AV23" s="131" t="s">
        <v>153</v>
      </c>
      <c r="AW23" s="131" t="s">
        <v>153</v>
      </c>
      <c r="AX23" s="131" t="s">
        <v>153</v>
      </c>
      <c r="AY23" s="131" t="s">
        <v>153</v>
      </c>
      <c r="AZ23" s="131" t="s">
        <v>153</v>
      </c>
      <c r="BA23" s="131" t="s">
        <v>153</v>
      </c>
      <c r="BB23" s="131" t="s">
        <v>153</v>
      </c>
      <c r="BC23" s="131" t="s">
        <v>153</v>
      </c>
      <c r="BD23" s="131" t="s">
        <v>153</v>
      </c>
      <c r="BE23" s="131" t="s">
        <v>153</v>
      </c>
      <c r="BF23" s="131" t="s">
        <v>153</v>
      </c>
      <c r="BG23" s="131" t="s">
        <v>153</v>
      </c>
      <c r="BH23" s="131" t="s">
        <v>153</v>
      </c>
      <c r="BI23" s="131" t="s">
        <v>153</v>
      </c>
      <c r="BJ23" s="131" t="s">
        <v>153</v>
      </c>
      <c r="BK23" s="131" t="s">
        <v>153</v>
      </c>
    </row>
    <row r="24" spans="1:63" ht="17.25" customHeight="1" x14ac:dyDescent="0.45">
      <c r="A24" s="134" t="s">
        <v>217</v>
      </c>
      <c r="B24" s="135" t="s">
        <v>138</v>
      </c>
      <c r="C24" s="129" t="s">
        <v>39</v>
      </c>
      <c r="D24" s="129" t="s">
        <v>39</v>
      </c>
      <c r="E24" s="129" t="s">
        <v>39</v>
      </c>
      <c r="F24" s="129" t="s">
        <v>39</v>
      </c>
      <c r="G24" s="129" t="s">
        <v>39</v>
      </c>
      <c r="H24" s="129" t="s">
        <v>39</v>
      </c>
      <c r="I24" s="129" t="s">
        <v>39</v>
      </c>
      <c r="J24" s="143" t="s">
        <v>39</v>
      </c>
      <c r="K24" s="129" t="s">
        <v>39</v>
      </c>
      <c r="L24" s="129" t="s">
        <v>39</v>
      </c>
      <c r="M24" s="129" t="s">
        <v>39</v>
      </c>
      <c r="N24" s="129" t="s">
        <v>39</v>
      </c>
      <c r="O24" s="129" t="s">
        <v>39</v>
      </c>
      <c r="P24" s="129" t="s">
        <v>39</v>
      </c>
      <c r="Q24" s="129" t="s">
        <v>39</v>
      </c>
      <c r="R24" s="129" t="s">
        <v>39</v>
      </c>
      <c r="S24" s="129" t="s">
        <v>39</v>
      </c>
      <c r="T24" s="129" t="s">
        <v>39</v>
      </c>
      <c r="U24" s="129" t="s">
        <v>39</v>
      </c>
      <c r="V24" s="129" t="s">
        <v>39</v>
      </c>
      <c r="W24" s="129" t="s">
        <v>39</v>
      </c>
      <c r="X24" s="129" t="s">
        <v>39</v>
      </c>
      <c r="Y24" s="129" t="s">
        <v>39</v>
      </c>
      <c r="Z24" s="129" t="s">
        <v>39</v>
      </c>
      <c r="AA24" s="143" t="s">
        <v>39</v>
      </c>
      <c r="AB24" s="129" t="s">
        <v>39</v>
      </c>
      <c r="AC24" s="129" t="s">
        <v>39</v>
      </c>
      <c r="AD24" s="129" t="s">
        <v>39</v>
      </c>
      <c r="AE24" s="129" t="s">
        <v>39</v>
      </c>
      <c r="AF24" s="143" t="s">
        <v>39</v>
      </c>
      <c r="AG24" s="129" t="s">
        <v>39</v>
      </c>
      <c r="AH24" s="149" t="s">
        <v>39</v>
      </c>
      <c r="AI24" s="129" t="s">
        <v>39</v>
      </c>
      <c r="AJ24" s="129" t="s">
        <v>39</v>
      </c>
      <c r="AK24" s="129" t="s">
        <v>39</v>
      </c>
      <c r="AL24" s="129" t="s">
        <v>39</v>
      </c>
      <c r="AM24" s="129" t="s">
        <v>39</v>
      </c>
      <c r="AN24" s="129" t="s">
        <v>39</v>
      </c>
      <c r="AO24" s="129" t="s">
        <v>39</v>
      </c>
      <c r="AP24" s="129" t="s">
        <v>39</v>
      </c>
      <c r="AQ24" s="129" t="s">
        <v>39</v>
      </c>
      <c r="AR24" s="143" t="s">
        <v>39</v>
      </c>
      <c r="AS24" s="129" t="s">
        <v>39</v>
      </c>
      <c r="AT24" s="129" t="s">
        <v>39</v>
      </c>
      <c r="AU24" s="129" t="s">
        <v>39</v>
      </c>
      <c r="AV24" s="129" t="s">
        <v>39</v>
      </c>
      <c r="AW24" s="129" t="s">
        <v>39</v>
      </c>
      <c r="AX24" s="129" t="s">
        <v>39</v>
      </c>
      <c r="AY24" s="129" t="s">
        <v>39</v>
      </c>
      <c r="AZ24" s="129" t="s">
        <v>39</v>
      </c>
      <c r="BA24" s="129" t="s">
        <v>39</v>
      </c>
      <c r="BB24" s="129" t="s">
        <v>153</v>
      </c>
      <c r="BC24" s="129" t="s">
        <v>153</v>
      </c>
      <c r="BD24" s="129" t="s">
        <v>153</v>
      </c>
      <c r="BE24" s="129" t="s">
        <v>153</v>
      </c>
      <c r="BF24" s="129" t="s">
        <v>153</v>
      </c>
      <c r="BG24" s="129" t="s">
        <v>153</v>
      </c>
      <c r="BH24" s="129" t="s">
        <v>153</v>
      </c>
      <c r="BI24" s="129" t="s">
        <v>153</v>
      </c>
      <c r="BJ24" s="129" t="s">
        <v>153</v>
      </c>
      <c r="BK24" s="129" t="s">
        <v>153</v>
      </c>
    </row>
    <row r="25" spans="1:63" ht="17.25" customHeight="1" x14ac:dyDescent="0.45">
      <c r="A25" s="132" t="s">
        <v>218</v>
      </c>
      <c r="B25" s="136" t="s">
        <v>138</v>
      </c>
      <c r="C25" s="139" t="s">
        <v>39</v>
      </c>
      <c r="D25" s="139" t="s">
        <v>39</v>
      </c>
      <c r="E25" s="139" t="s">
        <v>39</v>
      </c>
      <c r="F25" s="139" t="s">
        <v>39</v>
      </c>
      <c r="G25" s="139" t="s">
        <v>39</v>
      </c>
      <c r="H25" s="139" t="s">
        <v>39</v>
      </c>
      <c r="I25" s="139" t="s">
        <v>39</v>
      </c>
      <c r="J25" s="142" t="s">
        <v>39</v>
      </c>
      <c r="K25" s="139" t="s">
        <v>39</v>
      </c>
      <c r="L25" s="139" t="s">
        <v>39</v>
      </c>
      <c r="M25" s="139" t="s">
        <v>39</v>
      </c>
      <c r="N25" s="139" t="s">
        <v>39</v>
      </c>
      <c r="O25" s="139" t="s">
        <v>39</v>
      </c>
      <c r="P25" s="139" t="s">
        <v>39</v>
      </c>
      <c r="Q25" s="139" t="s">
        <v>39</v>
      </c>
      <c r="R25" s="139" t="s">
        <v>39</v>
      </c>
      <c r="S25" s="139" t="s">
        <v>39</v>
      </c>
      <c r="T25" s="139" t="s">
        <v>39</v>
      </c>
      <c r="U25" s="139" t="s">
        <v>39</v>
      </c>
      <c r="V25" s="139" t="s">
        <v>39</v>
      </c>
      <c r="W25" s="139" t="s">
        <v>39</v>
      </c>
      <c r="X25" s="139" t="s">
        <v>39</v>
      </c>
      <c r="Y25" s="139" t="s">
        <v>39</v>
      </c>
      <c r="Z25" s="139" t="s">
        <v>39</v>
      </c>
      <c r="AA25" s="142" t="s">
        <v>39</v>
      </c>
      <c r="AB25" s="139" t="s">
        <v>39</v>
      </c>
      <c r="AC25" s="139" t="s">
        <v>39</v>
      </c>
      <c r="AD25" s="139" t="s">
        <v>39</v>
      </c>
      <c r="AE25" s="139" t="s">
        <v>39</v>
      </c>
      <c r="AF25" s="142" t="s">
        <v>39</v>
      </c>
      <c r="AG25" s="139" t="s">
        <v>39</v>
      </c>
      <c r="AH25" s="150" t="s">
        <v>39</v>
      </c>
      <c r="AI25" s="139" t="s">
        <v>39</v>
      </c>
      <c r="AJ25" s="139" t="s">
        <v>39</v>
      </c>
      <c r="AK25" s="139" t="s">
        <v>39</v>
      </c>
      <c r="AL25" s="139" t="s">
        <v>39</v>
      </c>
      <c r="AM25" s="139" t="s">
        <v>39</v>
      </c>
      <c r="AN25" s="139" t="s">
        <v>39</v>
      </c>
      <c r="AO25" s="139" t="s">
        <v>39</v>
      </c>
      <c r="AP25" s="139" t="s">
        <v>39</v>
      </c>
      <c r="AQ25" s="139" t="s">
        <v>39</v>
      </c>
      <c r="AR25" s="142" t="s">
        <v>39</v>
      </c>
      <c r="AS25" s="139" t="s">
        <v>39</v>
      </c>
      <c r="AT25" s="139" t="s">
        <v>39</v>
      </c>
      <c r="AU25" s="139" t="s">
        <v>39</v>
      </c>
      <c r="AV25" s="139" t="s">
        <v>39</v>
      </c>
      <c r="AW25" s="139" t="s">
        <v>39</v>
      </c>
      <c r="AX25" s="139" t="s">
        <v>39</v>
      </c>
      <c r="AY25" s="139" t="s">
        <v>39</v>
      </c>
      <c r="AZ25" s="139" t="s">
        <v>39</v>
      </c>
      <c r="BA25" s="139" t="s">
        <v>39</v>
      </c>
      <c r="BB25" s="139" t="s">
        <v>153</v>
      </c>
      <c r="BC25" s="139" t="s">
        <v>153</v>
      </c>
      <c r="BD25" s="139" t="s">
        <v>153</v>
      </c>
      <c r="BE25" s="139" t="s">
        <v>153</v>
      </c>
      <c r="BF25" s="139" t="s">
        <v>153</v>
      </c>
      <c r="BG25" s="139" t="s">
        <v>153</v>
      </c>
      <c r="BH25" s="139" t="s">
        <v>153</v>
      </c>
      <c r="BI25" s="139" t="s">
        <v>153</v>
      </c>
      <c r="BJ25" s="139" t="s">
        <v>153</v>
      </c>
      <c r="BK25" s="139" t="s">
        <v>153</v>
      </c>
    </row>
    <row r="26" spans="1:63" ht="17.25" customHeight="1" x14ac:dyDescent="0.45">
      <c r="A26" s="132" t="s">
        <v>219</v>
      </c>
      <c r="B26" s="136" t="s">
        <v>138</v>
      </c>
      <c r="C26" s="139" t="s">
        <v>39</v>
      </c>
      <c r="D26" s="139" t="s">
        <v>39</v>
      </c>
      <c r="E26" s="139" t="s">
        <v>39</v>
      </c>
      <c r="F26" s="139" t="s">
        <v>39</v>
      </c>
      <c r="G26" s="139" t="s">
        <v>39</v>
      </c>
      <c r="H26" s="139" t="s">
        <v>39</v>
      </c>
      <c r="I26" s="139" t="s">
        <v>39</v>
      </c>
      <c r="J26" s="142" t="s">
        <v>39</v>
      </c>
      <c r="K26" s="139" t="s">
        <v>39</v>
      </c>
      <c r="L26" s="139" t="s">
        <v>39</v>
      </c>
      <c r="M26" s="139" t="s">
        <v>39</v>
      </c>
      <c r="N26" s="139" t="s">
        <v>39</v>
      </c>
      <c r="O26" s="139" t="s">
        <v>39</v>
      </c>
      <c r="P26" s="139" t="s">
        <v>39</v>
      </c>
      <c r="Q26" s="139" t="s">
        <v>39</v>
      </c>
      <c r="R26" s="139" t="s">
        <v>39</v>
      </c>
      <c r="S26" s="139" t="s">
        <v>39</v>
      </c>
      <c r="T26" s="139" t="s">
        <v>39</v>
      </c>
      <c r="U26" s="139" t="s">
        <v>39</v>
      </c>
      <c r="V26" s="139" t="s">
        <v>39</v>
      </c>
      <c r="W26" s="139" t="s">
        <v>39</v>
      </c>
      <c r="X26" s="139" t="s">
        <v>39</v>
      </c>
      <c r="Y26" s="139" t="s">
        <v>39</v>
      </c>
      <c r="Z26" s="139" t="s">
        <v>39</v>
      </c>
      <c r="AA26" s="142" t="s">
        <v>39</v>
      </c>
      <c r="AB26" s="139" t="s">
        <v>39</v>
      </c>
      <c r="AC26" s="139" t="s">
        <v>39</v>
      </c>
      <c r="AD26" s="139" t="s">
        <v>39</v>
      </c>
      <c r="AE26" s="139" t="s">
        <v>39</v>
      </c>
      <c r="AF26" s="142" t="s">
        <v>39</v>
      </c>
      <c r="AG26" s="139" t="s">
        <v>39</v>
      </c>
      <c r="AH26" s="150" t="s">
        <v>39</v>
      </c>
      <c r="AI26" s="139" t="s">
        <v>39</v>
      </c>
      <c r="AJ26" s="139" t="s">
        <v>39</v>
      </c>
      <c r="AK26" s="139" t="s">
        <v>39</v>
      </c>
      <c r="AL26" s="139" t="s">
        <v>39</v>
      </c>
      <c r="AM26" s="139" t="s">
        <v>39</v>
      </c>
      <c r="AN26" s="139" t="s">
        <v>39</v>
      </c>
      <c r="AO26" s="139" t="s">
        <v>39</v>
      </c>
      <c r="AP26" s="139" t="s">
        <v>39</v>
      </c>
      <c r="AQ26" s="139" t="s">
        <v>39</v>
      </c>
      <c r="AR26" s="142" t="s">
        <v>39</v>
      </c>
      <c r="AS26" s="139" t="s">
        <v>39</v>
      </c>
      <c r="AT26" s="139" t="s">
        <v>39</v>
      </c>
      <c r="AU26" s="139" t="s">
        <v>39</v>
      </c>
      <c r="AV26" s="139" t="s">
        <v>39</v>
      </c>
      <c r="AW26" s="139" t="s">
        <v>39</v>
      </c>
      <c r="AX26" s="139" t="s">
        <v>39</v>
      </c>
      <c r="AY26" s="139" t="s">
        <v>39</v>
      </c>
      <c r="AZ26" s="139" t="s">
        <v>39</v>
      </c>
      <c r="BA26" s="139" t="s">
        <v>39</v>
      </c>
      <c r="BB26" s="139" t="s">
        <v>153</v>
      </c>
      <c r="BC26" s="139" t="s">
        <v>153</v>
      </c>
      <c r="BD26" s="139" t="s">
        <v>153</v>
      </c>
      <c r="BE26" s="139" t="s">
        <v>153</v>
      </c>
      <c r="BF26" s="139" t="s">
        <v>153</v>
      </c>
      <c r="BG26" s="139" t="s">
        <v>153</v>
      </c>
      <c r="BH26" s="139" t="s">
        <v>153</v>
      </c>
      <c r="BI26" s="139" t="s">
        <v>153</v>
      </c>
      <c r="BJ26" s="139" t="s">
        <v>153</v>
      </c>
      <c r="BK26" s="139" t="s">
        <v>153</v>
      </c>
    </row>
    <row r="27" spans="1:63" ht="17.25" customHeight="1" x14ac:dyDescent="0.45">
      <c r="A27" s="132" t="s">
        <v>220</v>
      </c>
      <c r="B27" s="136" t="s">
        <v>138</v>
      </c>
      <c r="C27" s="139" t="s">
        <v>39</v>
      </c>
      <c r="D27" s="139" t="s">
        <v>39</v>
      </c>
      <c r="E27" s="139" t="s">
        <v>39</v>
      </c>
      <c r="F27" s="139" t="s">
        <v>39</v>
      </c>
      <c r="G27" s="139" t="s">
        <v>39</v>
      </c>
      <c r="H27" s="139" t="s">
        <v>39</v>
      </c>
      <c r="I27" s="139" t="s">
        <v>39</v>
      </c>
      <c r="J27" s="142" t="s">
        <v>39</v>
      </c>
      <c r="K27" s="139" t="s">
        <v>39</v>
      </c>
      <c r="L27" s="139" t="s">
        <v>39</v>
      </c>
      <c r="M27" s="139" t="s">
        <v>39</v>
      </c>
      <c r="N27" s="139" t="s">
        <v>39</v>
      </c>
      <c r="O27" s="139" t="s">
        <v>39</v>
      </c>
      <c r="P27" s="139" t="s">
        <v>39</v>
      </c>
      <c r="Q27" s="139" t="s">
        <v>39</v>
      </c>
      <c r="R27" s="139" t="s">
        <v>39</v>
      </c>
      <c r="S27" s="139" t="s">
        <v>39</v>
      </c>
      <c r="T27" s="139" t="s">
        <v>39</v>
      </c>
      <c r="U27" s="139" t="s">
        <v>39</v>
      </c>
      <c r="V27" s="139" t="s">
        <v>39</v>
      </c>
      <c r="W27" s="139" t="s">
        <v>39</v>
      </c>
      <c r="X27" s="139" t="s">
        <v>39</v>
      </c>
      <c r="Y27" s="139" t="s">
        <v>39</v>
      </c>
      <c r="Z27" s="139" t="s">
        <v>39</v>
      </c>
      <c r="AA27" s="142" t="s">
        <v>39</v>
      </c>
      <c r="AB27" s="139" t="s">
        <v>39</v>
      </c>
      <c r="AC27" s="139" t="s">
        <v>39</v>
      </c>
      <c r="AD27" s="139" t="s">
        <v>39</v>
      </c>
      <c r="AE27" s="139" t="s">
        <v>39</v>
      </c>
      <c r="AF27" s="142" t="s">
        <v>39</v>
      </c>
      <c r="AG27" s="139" t="s">
        <v>39</v>
      </c>
      <c r="AH27" s="150" t="s">
        <v>39</v>
      </c>
      <c r="AI27" s="139" t="s">
        <v>39</v>
      </c>
      <c r="AJ27" s="139" t="s">
        <v>39</v>
      </c>
      <c r="AK27" s="139" t="s">
        <v>39</v>
      </c>
      <c r="AL27" s="139" t="s">
        <v>39</v>
      </c>
      <c r="AM27" s="139" t="s">
        <v>39</v>
      </c>
      <c r="AN27" s="139" t="s">
        <v>39</v>
      </c>
      <c r="AO27" s="139" t="s">
        <v>39</v>
      </c>
      <c r="AP27" s="139" t="s">
        <v>39</v>
      </c>
      <c r="AQ27" s="139" t="s">
        <v>39</v>
      </c>
      <c r="AR27" s="142" t="s">
        <v>39</v>
      </c>
      <c r="AS27" s="139" t="s">
        <v>39</v>
      </c>
      <c r="AT27" s="139" t="s">
        <v>39</v>
      </c>
      <c r="AU27" s="139" t="s">
        <v>39</v>
      </c>
      <c r="AV27" s="139" t="s">
        <v>39</v>
      </c>
      <c r="AW27" s="139" t="s">
        <v>39</v>
      </c>
      <c r="AX27" s="139" t="s">
        <v>39</v>
      </c>
      <c r="AY27" s="139" t="s">
        <v>39</v>
      </c>
      <c r="AZ27" s="139" t="s">
        <v>39</v>
      </c>
      <c r="BA27" s="139" t="s">
        <v>39</v>
      </c>
      <c r="BB27" s="139" t="s">
        <v>153</v>
      </c>
      <c r="BC27" s="139" t="s">
        <v>153</v>
      </c>
      <c r="BD27" s="139" t="s">
        <v>153</v>
      </c>
      <c r="BE27" s="139" t="s">
        <v>153</v>
      </c>
      <c r="BF27" s="139" t="s">
        <v>153</v>
      </c>
      <c r="BG27" s="139" t="s">
        <v>153</v>
      </c>
      <c r="BH27" s="139" t="s">
        <v>153</v>
      </c>
      <c r="BI27" s="139" t="s">
        <v>153</v>
      </c>
      <c r="BJ27" s="139" t="s">
        <v>153</v>
      </c>
      <c r="BK27" s="139" t="s">
        <v>153</v>
      </c>
    </row>
    <row r="28" spans="1:63" ht="17.25" customHeight="1" x14ac:dyDescent="0.45">
      <c r="A28" s="132" t="s">
        <v>221</v>
      </c>
      <c r="B28" s="136" t="s">
        <v>138</v>
      </c>
      <c r="C28" s="139" t="s">
        <v>39</v>
      </c>
      <c r="D28" s="139" t="s">
        <v>39</v>
      </c>
      <c r="E28" s="139" t="s">
        <v>39</v>
      </c>
      <c r="F28" s="139" t="s">
        <v>39</v>
      </c>
      <c r="G28" s="139" t="s">
        <v>39</v>
      </c>
      <c r="H28" s="139" t="s">
        <v>39</v>
      </c>
      <c r="I28" s="139" t="s">
        <v>39</v>
      </c>
      <c r="J28" s="142" t="s">
        <v>39</v>
      </c>
      <c r="K28" s="139" t="s">
        <v>39</v>
      </c>
      <c r="L28" s="139" t="s">
        <v>39</v>
      </c>
      <c r="M28" s="139" t="s">
        <v>39</v>
      </c>
      <c r="N28" s="139" t="s">
        <v>39</v>
      </c>
      <c r="O28" s="139" t="s">
        <v>39</v>
      </c>
      <c r="P28" s="139" t="s">
        <v>216</v>
      </c>
      <c r="Q28" s="139" t="s">
        <v>39</v>
      </c>
      <c r="R28" s="139" t="s">
        <v>39</v>
      </c>
      <c r="S28" s="139" t="s">
        <v>39</v>
      </c>
      <c r="T28" s="139" t="s">
        <v>39</v>
      </c>
      <c r="U28" s="139" t="s">
        <v>39</v>
      </c>
      <c r="V28" s="139" t="s">
        <v>39</v>
      </c>
      <c r="W28" s="139" t="s">
        <v>39</v>
      </c>
      <c r="X28" s="139" t="s">
        <v>39</v>
      </c>
      <c r="Y28" s="139" t="s">
        <v>39</v>
      </c>
      <c r="Z28" s="139" t="s">
        <v>39</v>
      </c>
      <c r="AA28" s="142" t="s">
        <v>39</v>
      </c>
      <c r="AB28" s="139" t="s">
        <v>39</v>
      </c>
      <c r="AC28" s="139" t="s">
        <v>39</v>
      </c>
      <c r="AD28" s="139" t="s">
        <v>39</v>
      </c>
      <c r="AE28" s="139" t="s">
        <v>39</v>
      </c>
      <c r="AF28" s="142" t="s">
        <v>39</v>
      </c>
      <c r="AG28" s="139" t="s">
        <v>216</v>
      </c>
      <c r="AH28" s="150" t="s">
        <v>39</v>
      </c>
      <c r="AI28" s="139" t="s">
        <v>39</v>
      </c>
      <c r="AJ28" s="139" t="s">
        <v>39</v>
      </c>
      <c r="AK28" s="139" t="s">
        <v>39</v>
      </c>
      <c r="AL28" s="139" t="s">
        <v>39</v>
      </c>
      <c r="AM28" s="139" t="s">
        <v>39</v>
      </c>
      <c r="AN28" s="139" t="s">
        <v>39</v>
      </c>
      <c r="AO28" s="139" t="s">
        <v>39</v>
      </c>
      <c r="AP28" s="139" t="s">
        <v>39</v>
      </c>
      <c r="AQ28" s="139" t="s">
        <v>39</v>
      </c>
      <c r="AR28" s="142" t="s">
        <v>39</v>
      </c>
      <c r="AS28" s="139" t="s">
        <v>39</v>
      </c>
      <c r="AT28" s="139" t="s">
        <v>39</v>
      </c>
      <c r="AU28" s="139" t="s">
        <v>39</v>
      </c>
      <c r="AV28" s="139" t="s">
        <v>39</v>
      </c>
      <c r="AW28" s="139" t="s">
        <v>39</v>
      </c>
      <c r="AX28" s="139" t="s">
        <v>216</v>
      </c>
      <c r="AY28" s="139" t="s">
        <v>39</v>
      </c>
      <c r="AZ28" s="139" t="s">
        <v>39</v>
      </c>
      <c r="BA28" s="139" t="s">
        <v>39</v>
      </c>
      <c r="BB28" s="139" t="s">
        <v>153</v>
      </c>
      <c r="BC28" s="139" t="s">
        <v>153</v>
      </c>
      <c r="BD28" s="139" t="s">
        <v>153</v>
      </c>
      <c r="BE28" s="139" t="s">
        <v>153</v>
      </c>
      <c r="BF28" s="139" t="s">
        <v>153</v>
      </c>
      <c r="BG28" s="139" t="s">
        <v>153</v>
      </c>
      <c r="BH28" s="139" t="s">
        <v>153</v>
      </c>
      <c r="BI28" s="139" t="s">
        <v>153</v>
      </c>
      <c r="BJ28" s="139" t="s">
        <v>153</v>
      </c>
      <c r="BK28" s="139" t="s">
        <v>153</v>
      </c>
    </row>
    <row r="29" spans="1:63" ht="17.25" customHeight="1" x14ac:dyDescent="0.45">
      <c r="A29" s="132" t="s">
        <v>222</v>
      </c>
      <c r="B29" s="136" t="s">
        <v>138</v>
      </c>
      <c r="C29" s="139" t="s">
        <v>39</v>
      </c>
      <c r="D29" s="139" t="s">
        <v>39</v>
      </c>
      <c r="E29" s="139" t="s">
        <v>39</v>
      </c>
      <c r="F29" s="139" t="s">
        <v>39</v>
      </c>
      <c r="G29" s="139" t="s">
        <v>39</v>
      </c>
      <c r="H29" s="139" t="s">
        <v>39</v>
      </c>
      <c r="I29" s="139" t="s">
        <v>39</v>
      </c>
      <c r="J29" s="142" t="s">
        <v>39</v>
      </c>
      <c r="K29" s="139" t="s">
        <v>39</v>
      </c>
      <c r="L29" s="139" t="s">
        <v>39</v>
      </c>
      <c r="M29" s="139" t="s">
        <v>39</v>
      </c>
      <c r="N29" s="139" t="s">
        <v>39</v>
      </c>
      <c r="O29" s="139" t="s">
        <v>39</v>
      </c>
      <c r="P29" s="139" t="s">
        <v>216</v>
      </c>
      <c r="Q29" s="139" t="s">
        <v>216</v>
      </c>
      <c r="R29" s="139" t="s">
        <v>216</v>
      </c>
      <c r="S29" s="139" t="s">
        <v>39</v>
      </c>
      <c r="T29" s="139" t="s">
        <v>39</v>
      </c>
      <c r="U29" s="139" t="s">
        <v>39</v>
      </c>
      <c r="V29" s="139" t="s">
        <v>39</v>
      </c>
      <c r="W29" s="139" t="s">
        <v>39</v>
      </c>
      <c r="X29" s="139" t="s">
        <v>39</v>
      </c>
      <c r="Y29" s="139" t="s">
        <v>39</v>
      </c>
      <c r="Z29" s="139" t="s">
        <v>39</v>
      </c>
      <c r="AA29" s="142" t="s">
        <v>39</v>
      </c>
      <c r="AB29" s="139" t="s">
        <v>39</v>
      </c>
      <c r="AC29" s="139" t="s">
        <v>39</v>
      </c>
      <c r="AD29" s="139" t="s">
        <v>39</v>
      </c>
      <c r="AE29" s="139" t="s">
        <v>39</v>
      </c>
      <c r="AF29" s="142" t="s">
        <v>39</v>
      </c>
      <c r="AG29" s="139" t="s">
        <v>216</v>
      </c>
      <c r="AH29" s="150" t="s">
        <v>216</v>
      </c>
      <c r="AI29" s="139" t="s">
        <v>216</v>
      </c>
      <c r="AJ29" s="139" t="s">
        <v>39</v>
      </c>
      <c r="AK29" s="139" t="s">
        <v>39</v>
      </c>
      <c r="AL29" s="139" t="s">
        <v>39</v>
      </c>
      <c r="AM29" s="139" t="s">
        <v>39</v>
      </c>
      <c r="AN29" s="139" t="s">
        <v>39</v>
      </c>
      <c r="AO29" s="139" t="s">
        <v>39</v>
      </c>
      <c r="AP29" s="139" t="s">
        <v>39</v>
      </c>
      <c r="AQ29" s="139" t="s">
        <v>39</v>
      </c>
      <c r="AR29" s="142" t="s">
        <v>39</v>
      </c>
      <c r="AS29" s="139" t="s">
        <v>39</v>
      </c>
      <c r="AT29" s="139" t="s">
        <v>39</v>
      </c>
      <c r="AU29" s="139" t="s">
        <v>39</v>
      </c>
      <c r="AV29" s="139" t="s">
        <v>39</v>
      </c>
      <c r="AW29" s="139" t="s">
        <v>39</v>
      </c>
      <c r="AX29" s="139" t="s">
        <v>216</v>
      </c>
      <c r="AY29" s="139" t="s">
        <v>216</v>
      </c>
      <c r="AZ29" s="139" t="s">
        <v>216</v>
      </c>
      <c r="BA29" s="139" t="s">
        <v>39</v>
      </c>
      <c r="BB29" s="139" t="s">
        <v>153</v>
      </c>
      <c r="BC29" s="139" t="s">
        <v>153</v>
      </c>
      <c r="BD29" s="139" t="s">
        <v>153</v>
      </c>
      <c r="BE29" s="139" t="s">
        <v>153</v>
      </c>
      <c r="BF29" s="139" t="s">
        <v>153</v>
      </c>
      <c r="BG29" s="139" t="s">
        <v>153</v>
      </c>
      <c r="BH29" s="139" t="s">
        <v>153</v>
      </c>
      <c r="BI29" s="139" t="s">
        <v>153</v>
      </c>
      <c r="BJ29" s="139" t="s">
        <v>153</v>
      </c>
      <c r="BK29" s="139" t="s">
        <v>153</v>
      </c>
    </row>
    <row r="30" spans="1:63" ht="17.25" customHeight="1" x14ac:dyDescent="0.45">
      <c r="A30" s="132" t="s">
        <v>223</v>
      </c>
      <c r="B30" s="136" t="s">
        <v>138</v>
      </c>
      <c r="C30" s="139" t="s">
        <v>39</v>
      </c>
      <c r="D30" s="139" t="s">
        <v>39</v>
      </c>
      <c r="E30" s="139" t="s">
        <v>39</v>
      </c>
      <c r="F30" s="139" t="s">
        <v>39</v>
      </c>
      <c r="G30" s="139" t="s">
        <v>39</v>
      </c>
      <c r="H30" s="139" t="s">
        <v>39</v>
      </c>
      <c r="I30" s="139" t="s">
        <v>39</v>
      </c>
      <c r="J30" s="142" t="s">
        <v>39</v>
      </c>
      <c r="K30" s="139" t="s">
        <v>39</v>
      </c>
      <c r="L30" s="139" t="s">
        <v>39</v>
      </c>
      <c r="M30" s="139" t="s">
        <v>39</v>
      </c>
      <c r="N30" s="139" t="s">
        <v>39</v>
      </c>
      <c r="O30" s="139" t="s">
        <v>39</v>
      </c>
      <c r="P30" s="139" t="s">
        <v>216</v>
      </c>
      <c r="Q30" s="139" t="s">
        <v>39</v>
      </c>
      <c r="R30" s="139" t="s">
        <v>39</v>
      </c>
      <c r="S30" s="139" t="s">
        <v>39</v>
      </c>
      <c r="T30" s="139" t="s">
        <v>39</v>
      </c>
      <c r="U30" s="139" t="s">
        <v>39</v>
      </c>
      <c r="V30" s="139" t="s">
        <v>39</v>
      </c>
      <c r="W30" s="139" t="s">
        <v>39</v>
      </c>
      <c r="X30" s="139" t="s">
        <v>39</v>
      </c>
      <c r="Y30" s="139" t="s">
        <v>39</v>
      </c>
      <c r="Z30" s="139" t="s">
        <v>39</v>
      </c>
      <c r="AA30" s="142" t="s">
        <v>39</v>
      </c>
      <c r="AB30" s="139" t="s">
        <v>39</v>
      </c>
      <c r="AC30" s="139" t="s">
        <v>39</v>
      </c>
      <c r="AD30" s="139" t="s">
        <v>39</v>
      </c>
      <c r="AE30" s="139" t="s">
        <v>39</v>
      </c>
      <c r="AF30" s="142" t="s">
        <v>39</v>
      </c>
      <c r="AG30" s="139" t="s">
        <v>216</v>
      </c>
      <c r="AH30" s="150" t="s">
        <v>39</v>
      </c>
      <c r="AI30" s="139" t="s">
        <v>39</v>
      </c>
      <c r="AJ30" s="139" t="s">
        <v>39</v>
      </c>
      <c r="AK30" s="139" t="s">
        <v>39</v>
      </c>
      <c r="AL30" s="139" t="s">
        <v>39</v>
      </c>
      <c r="AM30" s="139" t="s">
        <v>39</v>
      </c>
      <c r="AN30" s="139" t="s">
        <v>39</v>
      </c>
      <c r="AO30" s="139" t="s">
        <v>39</v>
      </c>
      <c r="AP30" s="139" t="s">
        <v>39</v>
      </c>
      <c r="AQ30" s="139" t="s">
        <v>39</v>
      </c>
      <c r="AR30" s="142" t="s">
        <v>39</v>
      </c>
      <c r="AS30" s="139" t="s">
        <v>39</v>
      </c>
      <c r="AT30" s="139" t="s">
        <v>39</v>
      </c>
      <c r="AU30" s="139" t="s">
        <v>39</v>
      </c>
      <c r="AV30" s="139" t="s">
        <v>39</v>
      </c>
      <c r="AW30" s="139" t="s">
        <v>39</v>
      </c>
      <c r="AX30" s="139" t="s">
        <v>216</v>
      </c>
      <c r="AY30" s="139" t="s">
        <v>39</v>
      </c>
      <c r="AZ30" s="139" t="s">
        <v>39</v>
      </c>
      <c r="BA30" s="139" t="s">
        <v>39</v>
      </c>
      <c r="BB30" s="139" t="s">
        <v>153</v>
      </c>
      <c r="BC30" s="139" t="s">
        <v>153</v>
      </c>
      <c r="BD30" s="139" t="s">
        <v>153</v>
      </c>
      <c r="BE30" s="139" t="s">
        <v>153</v>
      </c>
      <c r="BF30" s="139" t="s">
        <v>153</v>
      </c>
      <c r="BG30" s="139" t="s">
        <v>153</v>
      </c>
      <c r="BH30" s="139" t="s">
        <v>153</v>
      </c>
      <c r="BI30" s="139" t="s">
        <v>153</v>
      </c>
      <c r="BJ30" s="139" t="s">
        <v>153</v>
      </c>
      <c r="BK30" s="139" t="s">
        <v>153</v>
      </c>
    </row>
    <row r="31" spans="1:63" ht="17.25" customHeight="1" thickBot="1" x14ac:dyDescent="0.5">
      <c r="A31" s="133" t="s">
        <v>224</v>
      </c>
      <c r="B31" s="137" t="s">
        <v>138</v>
      </c>
      <c r="C31" s="140" t="s">
        <v>39</v>
      </c>
      <c r="D31" s="140" t="s">
        <v>39</v>
      </c>
      <c r="E31" s="140" t="s">
        <v>39</v>
      </c>
      <c r="F31" s="140" t="s">
        <v>39</v>
      </c>
      <c r="G31" s="140" t="s">
        <v>39</v>
      </c>
      <c r="H31" s="140" t="s">
        <v>39</v>
      </c>
      <c r="I31" s="140" t="s">
        <v>39</v>
      </c>
      <c r="J31" s="144" t="s">
        <v>39</v>
      </c>
      <c r="K31" s="140" t="s">
        <v>39</v>
      </c>
      <c r="L31" s="140" t="s">
        <v>39</v>
      </c>
      <c r="M31" s="140" t="s">
        <v>39</v>
      </c>
      <c r="N31" s="140" t="s">
        <v>39</v>
      </c>
      <c r="O31" s="140" t="s">
        <v>39</v>
      </c>
      <c r="P31" s="139" t="s">
        <v>216</v>
      </c>
      <c r="Q31" s="140" t="s">
        <v>39</v>
      </c>
      <c r="R31" s="140" t="s">
        <v>39</v>
      </c>
      <c r="S31" s="140" t="s">
        <v>39</v>
      </c>
      <c r="T31" s="140" t="s">
        <v>39</v>
      </c>
      <c r="U31" s="140" t="s">
        <v>39</v>
      </c>
      <c r="V31" s="140" t="s">
        <v>39</v>
      </c>
      <c r="W31" s="140" t="s">
        <v>39</v>
      </c>
      <c r="X31" s="140" t="s">
        <v>39</v>
      </c>
      <c r="Y31" s="140" t="s">
        <v>39</v>
      </c>
      <c r="Z31" s="140" t="s">
        <v>39</v>
      </c>
      <c r="AA31" s="144" t="s">
        <v>39</v>
      </c>
      <c r="AB31" s="140" t="s">
        <v>39</v>
      </c>
      <c r="AC31" s="140" t="s">
        <v>39</v>
      </c>
      <c r="AD31" s="140" t="s">
        <v>39</v>
      </c>
      <c r="AE31" s="140" t="s">
        <v>39</v>
      </c>
      <c r="AF31" s="144" t="s">
        <v>39</v>
      </c>
      <c r="AG31" s="140" t="s">
        <v>216</v>
      </c>
      <c r="AH31" s="151" t="s">
        <v>39</v>
      </c>
      <c r="AI31" s="140" t="s">
        <v>39</v>
      </c>
      <c r="AJ31" s="140" t="s">
        <v>39</v>
      </c>
      <c r="AK31" s="140" t="s">
        <v>39</v>
      </c>
      <c r="AL31" s="140" t="s">
        <v>39</v>
      </c>
      <c r="AM31" s="140" t="s">
        <v>39</v>
      </c>
      <c r="AN31" s="140" t="s">
        <v>39</v>
      </c>
      <c r="AO31" s="140" t="s">
        <v>39</v>
      </c>
      <c r="AP31" s="140" t="s">
        <v>39</v>
      </c>
      <c r="AQ31" s="140" t="s">
        <v>39</v>
      </c>
      <c r="AR31" s="144" t="s">
        <v>39</v>
      </c>
      <c r="AS31" s="140" t="s">
        <v>39</v>
      </c>
      <c r="AT31" s="140" t="s">
        <v>39</v>
      </c>
      <c r="AU31" s="140" t="s">
        <v>39</v>
      </c>
      <c r="AV31" s="140" t="s">
        <v>39</v>
      </c>
      <c r="AW31" s="140" t="s">
        <v>39</v>
      </c>
      <c r="AX31" s="139" t="s">
        <v>216</v>
      </c>
      <c r="AY31" s="140" t="s">
        <v>39</v>
      </c>
      <c r="AZ31" s="140" t="s">
        <v>39</v>
      </c>
      <c r="BA31" s="140" t="s">
        <v>39</v>
      </c>
      <c r="BB31" s="140" t="s">
        <v>153</v>
      </c>
      <c r="BC31" s="140" t="s">
        <v>153</v>
      </c>
      <c r="BD31" s="140" t="s">
        <v>153</v>
      </c>
      <c r="BE31" s="140" t="s">
        <v>153</v>
      </c>
      <c r="BF31" s="139" t="s">
        <v>153</v>
      </c>
      <c r="BG31" s="140" t="s">
        <v>153</v>
      </c>
      <c r="BH31" s="140" t="s">
        <v>153</v>
      </c>
      <c r="BI31" s="140" t="s">
        <v>153</v>
      </c>
      <c r="BJ31" s="140" t="s">
        <v>153</v>
      </c>
      <c r="BK31" s="139" t="s">
        <v>153</v>
      </c>
    </row>
    <row r="32" spans="1:63" ht="17.25" customHeight="1" thickBot="1" x14ac:dyDescent="0.5">
      <c r="A32" s="133" t="s">
        <v>232</v>
      </c>
      <c r="B32" s="137" t="s">
        <v>138</v>
      </c>
      <c r="C32" s="140" t="s">
        <v>39</v>
      </c>
      <c r="D32" s="140" t="s">
        <v>39</v>
      </c>
      <c r="E32" s="140" t="s">
        <v>39</v>
      </c>
      <c r="F32" s="140" t="s">
        <v>39</v>
      </c>
      <c r="G32" s="140" t="s">
        <v>39</v>
      </c>
      <c r="H32" s="140" t="s">
        <v>39</v>
      </c>
      <c r="I32" s="140" t="s">
        <v>39</v>
      </c>
      <c r="J32" s="144" t="s">
        <v>39</v>
      </c>
      <c r="K32" s="140" t="s">
        <v>39</v>
      </c>
      <c r="L32" s="140" t="s">
        <v>39</v>
      </c>
      <c r="M32" s="140" t="s">
        <v>39</v>
      </c>
      <c r="N32" s="140" t="s">
        <v>39</v>
      </c>
      <c r="O32" s="140" t="s">
        <v>39</v>
      </c>
      <c r="P32" s="140" t="s">
        <v>39</v>
      </c>
      <c r="Q32" s="140" t="s">
        <v>39</v>
      </c>
      <c r="R32" s="140" t="s">
        <v>39</v>
      </c>
      <c r="S32" s="140" t="s">
        <v>216</v>
      </c>
      <c r="T32" s="140" t="s">
        <v>39</v>
      </c>
      <c r="U32" s="140" t="s">
        <v>39</v>
      </c>
      <c r="V32" s="140" t="s">
        <v>39</v>
      </c>
      <c r="W32" s="140" t="s">
        <v>39</v>
      </c>
      <c r="X32" s="140" t="s">
        <v>39</v>
      </c>
      <c r="Y32" s="140" t="s">
        <v>39</v>
      </c>
      <c r="Z32" s="140" t="s">
        <v>39</v>
      </c>
      <c r="AA32" s="144" t="s">
        <v>39</v>
      </c>
      <c r="AB32" s="140" t="s">
        <v>39</v>
      </c>
      <c r="AC32" s="140" t="s">
        <v>39</v>
      </c>
      <c r="AD32" s="140" t="s">
        <v>39</v>
      </c>
      <c r="AE32" s="140" t="s">
        <v>39</v>
      </c>
      <c r="AF32" s="140" t="s">
        <v>39</v>
      </c>
      <c r="AG32" s="152" t="s">
        <v>39</v>
      </c>
      <c r="AH32" s="140" t="s">
        <v>39</v>
      </c>
      <c r="AI32" s="140" t="s">
        <v>39</v>
      </c>
      <c r="AJ32" s="140" t="s">
        <v>216</v>
      </c>
      <c r="AK32" s="140" t="s">
        <v>39</v>
      </c>
      <c r="AL32" s="140" t="s">
        <v>39</v>
      </c>
      <c r="AM32" s="140" t="s">
        <v>39</v>
      </c>
      <c r="AN32" s="140" t="s">
        <v>39</v>
      </c>
      <c r="AO32" s="140" t="s">
        <v>39</v>
      </c>
      <c r="AP32" s="140" t="s">
        <v>39</v>
      </c>
      <c r="AQ32" s="140" t="s">
        <v>39</v>
      </c>
      <c r="AR32" s="144" t="s">
        <v>39</v>
      </c>
      <c r="AS32" s="140" t="s">
        <v>39</v>
      </c>
      <c r="AT32" s="140" t="s">
        <v>39</v>
      </c>
      <c r="AU32" s="140" t="s">
        <v>39</v>
      </c>
      <c r="AV32" s="140" t="s">
        <v>39</v>
      </c>
      <c r="AW32" s="140" t="s">
        <v>39</v>
      </c>
      <c r="AX32" s="140" t="s">
        <v>39</v>
      </c>
      <c r="AY32" s="140" t="s">
        <v>39</v>
      </c>
      <c r="AZ32" s="140" t="s">
        <v>39</v>
      </c>
      <c r="BA32" s="140" t="s">
        <v>216</v>
      </c>
      <c r="BB32" s="140" t="s">
        <v>153</v>
      </c>
      <c r="BC32" s="140" t="s">
        <v>153</v>
      </c>
      <c r="BD32" s="140" t="s">
        <v>153</v>
      </c>
      <c r="BE32" s="140" t="s">
        <v>153</v>
      </c>
      <c r="BF32" s="140" t="s">
        <v>153</v>
      </c>
      <c r="BG32" s="140" t="s">
        <v>153</v>
      </c>
      <c r="BH32" s="140" t="s">
        <v>153</v>
      </c>
      <c r="BI32" s="140" t="s">
        <v>153</v>
      </c>
      <c r="BJ32" s="140" t="s">
        <v>153</v>
      </c>
      <c r="BK32" s="140" t="s">
        <v>153</v>
      </c>
    </row>
    <row r="33" spans="1:63" ht="17.25" customHeight="1" thickBot="1" x14ac:dyDescent="0.5">
      <c r="A33" s="66" t="s">
        <v>88</v>
      </c>
      <c r="B33" s="67"/>
      <c r="C33" s="67"/>
      <c r="D33" s="67"/>
      <c r="E33" s="67"/>
      <c r="F33" s="67"/>
      <c r="G33" s="67"/>
      <c r="H33" s="67"/>
      <c r="I33" s="67"/>
      <c r="J33" s="67"/>
      <c r="K33" s="67"/>
      <c r="L33" s="67"/>
      <c r="M33" s="67"/>
      <c r="N33" s="67"/>
      <c r="O33" s="67"/>
      <c r="P33" s="67"/>
      <c r="T33" s="67"/>
      <c r="U33" s="67"/>
      <c r="V33" s="67"/>
      <c r="W33" s="67"/>
      <c r="X33" s="67"/>
      <c r="Y33" s="67"/>
      <c r="Z33" s="67"/>
      <c r="AA33" s="67"/>
      <c r="AB33" s="67"/>
      <c r="AC33" s="67"/>
      <c r="AD33" s="67"/>
      <c r="AE33" s="67"/>
      <c r="AF33" s="67"/>
      <c r="AG33" s="67"/>
      <c r="AK33" s="67"/>
      <c r="AL33" s="67"/>
      <c r="AM33" s="67"/>
      <c r="AN33" s="67"/>
      <c r="AO33" s="67"/>
      <c r="AP33" s="67"/>
      <c r="AQ33" s="67"/>
      <c r="AR33" s="67"/>
      <c r="AS33" s="67"/>
      <c r="AT33" s="67"/>
      <c r="AU33" s="67"/>
      <c r="AV33" s="67"/>
      <c r="AW33" s="67"/>
      <c r="AX33" s="67"/>
      <c r="BB33" s="67"/>
      <c r="BC33" s="67"/>
      <c r="BD33" s="67"/>
      <c r="BE33" s="67"/>
      <c r="BF33" s="67"/>
      <c r="BG33" s="67"/>
      <c r="BH33" s="67"/>
      <c r="BI33" s="67"/>
      <c r="BJ33" s="67"/>
      <c r="BK33" s="67"/>
    </row>
    <row r="34" spans="1:63" ht="17.25" customHeight="1" x14ac:dyDescent="0.45">
      <c r="A34" s="69" t="s">
        <v>38</v>
      </c>
      <c r="B34" s="93" t="s">
        <v>204</v>
      </c>
      <c r="C34" s="96">
        <v>0.52790000000000004</v>
      </c>
      <c r="D34" s="96">
        <v>0.52790000000000004</v>
      </c>
      <c r="E34" s="96">
        <v>0.52790000000000004</v>
      </c>
      <c r="F34" s="96">
        <v>0.52790000000000004</v>
      </c>
      <c r="G34" s="96">
        <v>0.52790000000000004</v>
      </c>
      <c r="H34" s="96">
        <v>0.52790000000000004</v>
      </c>
      <c r="I34" s="96">
        <v>0.52790000000000004</v>
      </c>
      <c r="J34" s="96">
        <v>0.52790000000000004</v>
      </c>
      <c r="K34" s="96">
        <v>0.52790000000000004</v>
      </c>
      <c r="L34" s="96">
        <v>0.52790000000000004</v>
      </c>
      <c r="M34" s="96">
        <v>0.52790000000000004</v>
      </c>
      <c r="N34" s="96">
        <v>0.52790000000000004</v>
      </c>
      <c r="O34" s="96">
        <v>0.52790000000000004</v>
      </c>
      <c r="P34" s="96">
        <v>0.52790000000000004</v>
      </c>
      <c r="Q34" s="96">
        <v>0.52790000000000004</v>
      </c>
      <c r="R34" s="96">
        <v>0.52790000000000004</v>
      </c>
      <c r="S34" s="96">
        <v>0.52790000000000004</v>
      </c>
      <c r="T34" s="96">
        <v>0.52790000000000004</v>
      </c>
      <c r="U34" s="96">
        <v>0.52790000000000004</v>
      </c>
      <c r="V34" s="96">
        <v>0.52790000000000004</v>
      </c>
      <c r="W34" s="96">
        <v>0.52790000000000004</v>
      </c>
      <c r="X34" s="96">
        <v>0.52790000000000004</v>
      </c>
      <c r="Y34" s="96">
        <v>0.52790000000000004</v>
      </c>
      <c r="Z34" s="96">
        <v>0.52790000000000004</v>
      </c>
      <c r="AA34" s="96">
        <v>0.52790000000000004</v>
      </c>
      <c r="AB34" s="96">
        <v>0.52790000000000004</v>
      </c>
      <c r="AC34" s="96">
        <v>0.52790000000000004</v>
      </c>
      <c r="AD34" s="96">
        <v>0.52790000000000004</v>
      </c>
      <c r="AE34" s="96">
        <v>0.52790000000000004</v>
      </c>
      <c r="AF34" s="96">
        <v>0.52790000000000004</v>
      </c>
      <c r="AG34" s="96">
        <v>0.52790000000000004</v>
      </c>
      <c r="AH34" s="96">
        <v>0.52790000000000004</v>
      </c>
      <c r="AI34" s="96">
        <v>0.52790000000000004</v>
      </c>
      <c r="AJ34" s="96">
        <v>0.52790000000000004</v>
      </c>
      <c r="AK34" s="96">
        <v>0.52790000000000004</v>
      </c>
      <c r="AL34" s="96">
        <v>0.52790000000000004</v>
      </c>
      <c r="AM34" s="96">
        <v>0.52790000000000004</v>
      </c>
      <c r="AN34" s="96">
        <v>0.52790000000000004</v>
      </c>
      <c r="AO34" s="96">
        <v>0.52790000000000004</v>
      </c>
      <c r="AP34" s="96">
        <v>0.52790000000000004</v>
      </c>
      <c r="AQ34" s="96">
        <v>0.52790000000000004</v>
      </c>
      <c r="AR34" s="96">
        <v>0.52790000000000004</v>
      </c>
      <c r="AS34" s="96">
        <v>0.52790000000000004</v>
      </c>
      <c r="AT34" s="96">
        <v>0.52790000000000004</v>
      </c>
      <c r="AU34" s="96">
        <v>0.52790000000000004</v>
      </c>
      <c r="AV34" s="96">
        <v>0.52790000000000004</v>
      </c>
      <c r="AW34" s="96">
        <v>0.52790000000000004</v>
      </c>
      <c r="AX34" s="96">
        <v>0.52790000000000004</v>
      </c>
      <c r="AY34" s="96">
        <v>0.52790000000000004</v>
      </c>
      <c r="AZ34" s="96">
        <v>0.52790000000000004</v>
      </c>
      <c r="BA34" s="96">
        <v>0.52790000000000004</v>
      </c>
      <c r="BB34" s="96">
        <v>0.52790000000000004</v>
      </c>
      <c r="BC34" s="96">
        <v>0.52790000000000004</v>
      </c>
      <c r="BD34" s="96">
        <v>0.52790000000000004</v>
      </c>
      <c r="BE34" s="96">
        <v>0.52790000000000004</v>
      </c>
      <c r="BF34" s="96">
        <v>0.52790000000000004</v>
      </c>
      <c r="BG34" s="96">
        <v>0.52790000000000004</v>
      </c>
      <c r="BH34" s="96">
        <v>0.52790000000000004</v>
      </c>
      <c r="BI34" s="96">
        <v>0.52790000000000004</v>
      </c>
      <c r="BJ34" s="96">
        <v>0.52790000000000004</v>
      </c>
      <c r="BK34" s="96">
        <v>0.52790000000000004</v>
      </c>
    </row>
    <row r="35" spans="1:63" ht="17.25" customHeight="1" x14ac:dyDescent="0.45">
      <c r="A35" s="85" t="s">
        <v>38</v>
      </c>
      <c r="B35" s="94" t="s">
        <v>204</v>
      </c>
      <c r="C35" s="97">
        <v>6.2541000000000002</v>
      </c>
      <c r="D35" s="97">
        <v>6.2541000000000002</v>
      </c>
      <c r="E35" s="97">
        <v>6.2541000000000002</v>
      </c>
      <c r="F35" s="97">
        <v>6.2541000000000002</v>
      </c>
      <c r="G35" s="97">
        <v>6.2541000000000002</v>
      </c>
      <c r="H35" s="97">
        <v>6.2541000000000002</v>
      </c>
      <c r="I35" s="97">
        <v>6.2541000000000002</v>
      </c>
      <c r="J35" s="97">
        <v>6.2541000000000002</v>
      </c>
      <c r="K35" s="97">
        <v>6.2541000000000002</v>
      </c>
      <c r="L35" s="97">
        <v>6.2541000000000002</v>
      </c>
      <c r="M35" s="97">
        <v>6.2541000000000002</v>
      </c>
      <c r="N35" s="97">
        <v>6.2541000000000002</v>
      </c>
      <c r="O35" s="97">
        <v>6.2541000000000002</v>
      </c>
      <c r="P35" s="97">
        <v>6.2541000000000002</v>
      </c>
      <c r="Q35" s="97">
        <v>6.2541000000000002</v>
      </c>
      <c r="R35" s="97">
        <v>6.2541000000000002</v>
      </c>
      <c r="S35" s="97">
        <v>6.2541000000000002</v>
      </c>
      <c r="T35" s="97">
        <v>6.2541000000000002</v>
      </c>
      <c r="U35" s="97">
        <v>6.2541000000000002</v>
      </c>
      <c r="V35" s="97">
        <v>6.2541000000000002</v>
      </c>
      <c r="W35" s="97">
        <v>6.2541000000000002</v>
      </c>
      <c r="X35" s="97">
        <v>6.2541000000000002</v>
      </c>
      <c r="Y35" s="97">
        <v>6.2541000000000002</v>
      </c>
      <c r="Z35" s="97">
        <v>6.2541000000000002</v>
      </c>
      <c r="AA35" s="97">
        <v>6.2541000000000002</v>
      </c>
      <c r="AB35" s="97">
        <v>6.2541000000000002</v>
      </c>
      <c r="AC35" s="97">
        <v>6.2541000000000002</v>
      </c>
      <c r="AD35" s="97">
        <v>6.2541000000000002</v>
      </c>
      <c r="AE35" s="97">
        <v>6.2541000000000002</v>
      </c>
      <c r="AF35" s="97">
        <v>6.2541000000000002</v>
      </c>
      <c r="AG35" s="97">
        <v>6.2541000000000002</v>
      </c>
      <c r="AH35" s="97">
        <v>6.2541000000000002</v>
      </c>
      <c r="AI35" s="97">
        <v>6.2541000000000002</v>
      </c>
      <c r="AJ35" s="97">
        <v>6.2541000000000002</v>
      </c>
      <c r="AK35" s="97">
        <v>6.2541000000000002</v>
      </c>
      <c r="AL35" s="97">
        <v>6.2541000000000002</v>
      </c>
      <c r="AM35" s="97">
        <v>6.2541000000000002</v>
      </c>
      <c r="AN35" s="97">
        <v>6.2541000000000002</v>
      </c>
      <c r="AO35" s="97">
        <v>6.2541000000000002</v>
      </c>
      <c r="AP35" s="97">
        <v>6.2541000000000002</v>
      </c>
      <c r="AQ35" s="97">
        <v>6.2541000000000002</v>
      </c>
      <c r="AR35" s="97">
        <v>6.2541000000000002</v>
      </c>
      <c r="AS35" s="97">
        <v>6.2541000000000002</v>
      </c>
      <c r="AT35" s="97">
        <v>6.2541000000000002</v>
      </c>
      <c r="AU35" s="97">
        <v>6.2541000000000002</v>
      </c>
      <c r="AV35" s="97">
        <v>6.2541000000000002</v>
      </c>
      <c r="AW35" s="97">
        <v>6.2541000000000002</v>
      </c>
      <c r="AX35" s="97">
        <v>6.2541000000000002</v>
      </c>
      <c r="AY35" s="97">
        <v>6.2541000000000002</v>
      </c>
      <c r="AZ35" s="97">
        <v>6.2541000000000002</v>
      </c>
      <c r="BA35" s="97">
        <v>6.2541000000000002</v>
      </c>
      <c r="BB35" s="97">
        <v>6.2541000000000002</v>
      </c>
      <c r="BC35" s="97">
        <v>6.2541000000000002</v>
      </c>
      <c r="BD35" s="97">
        <v>6.2541000000000002</v>
      </c>
      <c r="BE35" s="97">
        <v>6.2541000000000002</v>
      </c>
      <c r="BF35" s="97">
        <v>6.2541000000000002</v>
      </c>
      <c r="BG35" s="97">
        <v>6.2541000000000002</v>
      </c>
      <c r="BH35" s="97">
        <v>6.2541000000000002</v>
      </c>
      <c r="BI35" s="97">
        <v>6.2541000000000002</v>
      </c>
      <c r="BJ35" s="97">
        <v>6.2541000000000002</v>
      </c>
      <c r="BK35" s="97">
        <v>6.2541000000000002</v>
      </c>
    </row>
    <row r="36" spans="1:63" ht="17.25" customHeight="1" x14ac:dyDescent="0.45">
      <c r="A36" s="85" t="s">
        <v>38</v>
      </c>
      <c r="B36" s="94" t="s">
        <v>204</v>
      </c>
      <c r="C36" s="97">
        <v>0.95299999999999996</v>
      </c>
      <c r="D36" s="97">
        <v>0.95299999999999996</v>
      </c>
      <c r="E36" s="97">
        <v>0.95299999999999996</v>
      </c>
      <c r="F36" s="97">
        <v>0.95299999999999996</v>
      </c>
      <c r="G36" s="97">
        <v>0.95299999999999996</v>
      </c>
      <c r="H36" s="97">
        <v>0.95299999999999996</v>
      </c>
      <c r="I36" s="97">
        <v>0.95299999999999996</v>
      </c>
      <c r="J36" s="97">
        <v>0.95299999999999996</v>
      </c>
      <c r="K36" s="97">
        <v>0.95299999999999996</v>
      </c>
      <c r="L36" s="97">
        <v>0.95299999999999996</v>
      </c>
      <c r="M36" s="97">
        <v>0.95299999999999996</v>
      </c>
      <c r="N36" s="97">
        <v>0.95299999999999996</v>
      </c>
      <c r="O36" s="97">
        <v>0.95299999999999996</v>
      </c>
      <c r="P36" s="97">
        <v>0.95299999999999996</v>
      </c>
      <c r="Q36" s="97">
        <v>0.95299999999999996</v>
      </c>
      <c r="R36" s="97">
        <v>0.95299999999999996</v>
      </c>
      <c r="S36" s="97">
        <v>0.95299999999999996</v>
      </c>
      <c r="T36" s="97">
        <v>0.95299999999999996</v>
      </c>
      <c r="U36" s="97">
        <v>0.95299999999999996</v>
      </c>
      <c r="V36" s="97">
        <v>0.95299999999999996</v>
      </c>
      <c r="W36" s="97">
        <v>0.95299999999999996</v>
      </c>
      <c r="X36" s="97">
        <v>0.95299999999999996</v>
      </c>
      <c r="Y36" s="97">
        <v>0.95299999999999996</v>
      </c>
      <c r="Z36" s="97">
        <v>0.95299999999999996</v>
      </c>
      <c r="AA36" s="97">
        <v>0.95299999999999996</v>
      </c>
      <c r="AB36" s="97">
        <v>0.95299999999999996</v>
      </c>
      <c r="AC36" s="97">
        <v>0.95299999999999996</v>
      </c>
      <c r="AD36" s="97">
        <v>0.95299999999999996</v>
      </c>
      <c r="AE36" s="97">
        <v>0.95299999999999996</v>
      </c>
      <c r="AF36" s="97">
        <v>0.95299999999999996</v>
      </c>
      <c r="AG36" s="97">
        <v>0.95299999999999996</v>
      </c>
      <c r="AH36" s="97">
        <v>0.95299999999999996</v>
      </c>
      <c r="AI36" s="97">
        <v>0.95299999999999996</v>
      </c>
      <c r="AJ36" s="97">
        <v>0.95299999999999996</v>
      </c>
      <c r="AK36" s="97">
        <v>0.95299999999999996</v>
      </c>
      <c r="AL36" s="97">
        <v>0.95299999999999996</v>
      </c>
      <c r="AM36" s="97">
        <v>0.95299999999999996</v>
      </c>
      <c r="AN36" s="97">
        <v>0.95299999999999996</v>
      </c>
      <c r="AO36" s="97">
        <v>0.95299999999999996</v>
      </c>
      <c r="AP36" s="97">
        <v>0.95299999999999996</v>
      </c>
      <c r="AQ36" s="97">
        <v>0.95299999999999996</v>
      </c>
      <c r="AR36" s="97">
        <v>0.95299999999999996</v>
      </c>
      <c r="AS36" s="97">
        <v>0.95299999999999996</v>
      </c>
      <c r="AT36" s="97">
        <v>0.95299999999999996</v>
      </c>
      <c r="AU36" s="97">
        <v>0.95299999999999996</v>
      </c>
      <c r="AV36" s="97">
        <v>0.95299999999999996</v>
      </c>
      <c r="AW36" s="97">
        <v>0.95299999999999996</v>
      </c>
      <c r="AX36" s="97">
        <v>0.95299999999999996</v>
      </c>
      <c r="AY36" s="97">
        <v>0.95299999999999996</v>
      </c>
      <c r="AZ36" s="97">
        <v>0.95299999999999996</v>
      </c>
      <c r="BA36" s="97">
        <v>0.95299999999999996</v>
      </c>
      <c r="BB36" s="97">
        <v>0.95299999999999996</v>
      </c>
      <c r="BC36" s="97">
        <v>0.95299999999999996</v>
      </c>
      <c r="BD36" s="97">
        <v>0.95299999999999996</v>
      </c>
      <c r="BE36" s="97">
        <v>0.95299999999999996</v>
      </c>
      <c r="BF36" s="97">
        <v>0.95299999999999996</v>
      </c>
      <c r="BG36" s="97">
        <v>0.95299999999999996</v>
      </c>
      <c r="BH36" s="97">
        <v>0.95299999999999996</v>
      </c>
      <c r="BI36" s="97">
        <v>0.95299999999999996</v>
      </c>
      <c r="BJ36" s="97">
        <v>0.95299999999999996</v>
      </c>
      <c r="BK36" s="97">
        <v>0.95299999999999996</v>
      </c>
    </row>
    <row r="37" spans="1:63" ht="17.25" customHeight="1" thickBot="1" x14ac:dyDescent="0.5">
      <c r="A37" s="70" t="s">
        <v>38</v>
      </c>
      <c r="B37" s="95" t="s">
        <v>204</v>
      </c>
      <c r="C37" s="98">
        <v>9.4450000000000003</v>
      </c>
      <c r="D37" s="98">
        <v>9.4450000000000003</v>
      </c>
      <c r="E37" s="98">
        <v>9.4450000000000003</v>
      </c>
      <c r="F37" s="98">
        <v>9.4450000000000003</v>
      </c>
      <c r="G37" s="98">
        <v>9.4450000000000003</v>
      </c>
      <c r="H37" s="98">
        <v>9.4450000000000003</v>
      </c>
      <c r="I37" s="98">
        <v>9.4450000000000003</v>
      </c>
      <c r="J37" s="98">
        <v>9.4450000000000003</v>
      </c>
      <c r="K37" s="98">
        <v>9.4450000000000003</v>
      </c>
      <c r="L37" s="98">
        <v>9.4450000000000003</v>
      </c>
      <c r="M37" s="98">
        <v>9.4450000000000003</v>
      </c>
      <c r="N37" s="98">
        <v>9.4450000000000003</v>
      </c>
      <c r="O37" s="98">
        <v>9.4450000000000003</v>
      </c>
      <c r="P37" s="98">
        <v>9.4450000000000003</v>
      </c>
      <c r="Q37" s="98">
        <v>9.4450000000000003</v>
      </c>
      <c r="R37" s="98">
        <v>9.4450000000000003</v>
      </c>
      <c r="S37" s="98">
        <v>9.4450000000000003</v>
      </c>
      <c r="T37" s="98">
        <v>9.4450000000000003</v>
      </c>
      <c r="U37" s="98">
        <v>9.4450000000000003</v>
      </c>
      <c r="V37" s="98">
        <v>9.4450000000000003</v>
      </c>
      <c r="W37" s="98">
        <v>9.4450000000000003</v>
      </c>
      <c r="X37" s="98">
        <v>9.4450000000000003</v>
      </c>
      <c r="Y37" s="98">
        <v>9.4450000000000003</v>
      </c>
      <c r="Z37" s="98">
        <v>9.4450000000000003</v>
      </c>
      <c r="AA37" s="98">
        <v>9.4450000000000003</v>
      </c>
      <c r="AB37" s="98">
        <v>9.4450000000000003</v>
      </c>
      <c r="AC37" s="98">
        <v>9.4450000000000003</v>
      </c>
      <c r="AD37" s="98">
        <v>9.4450000000000003</v>
      </c>
      <c r="AE37" s="98">
        <v>9.4450000000000003</v>
      </c>
      <c r="AF37" s="98">
        <v>9.4450000000000003</v>
      </c>
      <c r="AG37" s="98">
        <v>9.4450000000000003</v>
      </c>
      <c r="AH37" s="98">
        <v>9.4450000000000003</v>
      </c>
      <c r="AI37" s="98">
        <v>9.4450000000000003</v>
      </c>
      <c r="AJ37" s="98">
        <v>9.4450000000000003</v>
      </c>
      <c r="AK37" s="98">
        <v>9.4450000000000003</v>
      </c>
      <c r="AL37" s="98">
        <v>9.4450000000000003</v>
      </c>
      <c r="AM37" s="98">
        <v>9.4450000000000003</v>
      </c>
      <c r="AN37" s="98">
        <v>9.4450000000000003</v>
      </c>
      <c r="AO37" s="98">
        <v>9.4450000000000003</v>
      </c>
      <c r="AP37" s="98">
        <v>9.4450000000000003</v>
      </c>
      <c r="AQ37" s="98">
        <v>9.4450000000000003</v>
      </c>
      <c r="AR37" s="98">
        <v>9.4450000000000003</v>
      </c>
      <c r="AS37" s="98">
        <v>9.4450000000000003</v>
      </c>
      <c r="AT37" s="98">
        <v>9.4450000000000003</v>
      </c>
      <c r="AU37" s="98">
        <v>9.4450000000000003</v>
      </c>
      <c r="AV37" s="98">
        <v>9.4450000000000003</v>
      </c>
      <c r="AW37" s="98">
        <v>9.4450000000000003</v>
      </c>
      <c r="AX37" s="98">
        <v>9.4450000000000003</v>
      </c>
      <c r="AY37" s="98">
        <v>9.4450000000000003</v>
      </c>
      <c r="AZ37" s="98">
        <v>9.4450000000000003</v>
      </c>
      <c r="BA37" s="98">
        <v>9.4450000000000003</v>
      </c>
      <c r="BB37" s="98">
        <v>9.4450000000000003</v>
      </c>
      <c r="BC37" s="98">
        <v>9.4450000000000003</v>
      </c>
      <c r="BD37" s="98">
        <v>9.4450000000000003</v>
      </c>
      <c r="BE37" s="98">
        <v>9.4450000000000003</v>
      </c>
      <c r="BF37" s="98">
        <v>9.4450000000000003</v>
      </c>
      <c r="BG37" s="98">
        <v>9.4450000000000003</v>
      </c>
      <c r="BH37" s="98">
        <v>9.4450000000000003</v>
      </c>
      <c r="BI37" s="98">
        <v>9.4450000000000003</v>
      </c>
      <c r="BJ37" s="98">
        <v>9.4450000000000003</v>
      </c>
      <c r="BK37" s="98">
        <v>9.4450000000000003</v>
      </c>
    </row>
    <row r="38" spans="1:63" ht="17.25" customHeight="1" thickBot="1" x14ac:dyDescent="0.5">
      <c r="A38" s="66" t="s">
        <v>130</v>
      </c>
      <c r="B38" s="67"/>
      <c r="C38" s="67"/>
      <c r="D38" s="67"/>
      <c r="E38" s="67"/>
      <c r="F38" s="67"/>
      <c r="G38" s="67"/>
      <c r="H38" s="67"/>
      <c r="I38" s="67"/>
      <c r="J38" s="67"/>
      <c r="K38" s="67"/>
      <c r="L38" s="67"/>
      <c r="M38" s="67"/>
      <c r="N38" s="67"/>
      <c r="O38" s="67"/>
      <c r="P38" s="67"/>
      <c r="T38" s="67"/>
      <c r="U38" s="67"/>
      <c r="V38" s="67"/>
      <c r="W38" s="67"/>
      <c r="X38" s="67"/>
      <c r="Y38" s="67"/>
      <c r="Z38" s="67"/>
      <c r="AA38" s="67"/>
      <c r="AB38" s="67"/>
      <c r="AC38" s="67"/>
      <c r="AD38" s="67"/>
      <c r="AE38" s="67"/>
      <c r="AF38" s="67"/>
      <c r="AG38" s="67"/>
      <c r="AK38" s="67"/>
      <c r="AL38" s="67"/>
      <c r="AM38" s="67"/>
      <c r="AN38" s="67"/>
      <c r="AO38" s="67"/>
      <c r="AP38" s="67"/>
      <c r="AQ38" s="67"/>
      <c r="AR38" s="67"/>
      <c r="AS38" s="67"/>
      <c r="AT38" s="67"/>
      <c r="AU38" s="67"/>
      <c r="AV38" s="67"/>
      <c r="AW38" s="67"/>
      <c r="AX38" s="67"/>
      <c r="BB38" s="67"/>
      <c r="BC38" s="67"/>
      <c r="BD38" s="67"/>
      <c r="BE38" s="67"/>
      <c r="BF38" s="67"/>
      <c r="BG38" s="67"/>
      <c r="BH38" s="67"/>
      <c r="BI38" s="67"/>
      <c r="BJ38" s="67"/>
      <c r="BK38" s="67"/>
    </row>
    <row r="39" spans="1:63" ht="17.25" customHeight="1" x14ac:dyDescent="0.45">
      <c r="A39" s="90" t="s">
        <v>38</v>
      </c>
      <c r="B39" s="99" t="s">
        <v>215</v>
      </c>
      <c r="C39" s="124">
        <v>1.05</v>
      </c>
      <c r="D39" s="124">
        <v>1.05</v>
      </c>
      <c r="E39" s="124">
        <v>1.05</v>
      </c>
      <c r="F39" s="124">
        <v>1.05</v>
      </c>
      <c r="G39" s="124">
        <v>1.05</v>
      </c>
      <c r="H39" s="124">
        <v>1.05</v>
      </c>
      <c r="I39" s="124">
        <v>1.05</v>
      </c>
      <c r="J39" s="124">
        <v>1.05</v>
      </c>
      <c r="K39" s="124">
        <v>1.05</v>
      </c>
      <c r="L39" s="124">
        <v>1.05</v>
      </c>
      <c r="M39" s="124">
        <v>1.05</v>
      </c>
      <c r="N39" s="124">
        <v>1.05</v>
      </c>
      <c r="O39" s="124">
        <v>1.05</v>
      </c>
      <c r="P39" s="124">
        <v>1.05</v>
      </c>
      <c r="Q39" s="124">
        <v>1.05</v>
      </c>
      <c r="R39" s="124">
        <v>1.05</v>
      </c>
      <c r="S39" s="124">
        <v>1.05</v>
      </c>
      <c r="T39" s="124">
        <v>1.05</v>
      </c>
      <c r="U39" s="124">
        <v>1.05</v>
      </c>
      <c r="V39" s="124">
        <v>1.05</v>
      </c>
      <c r="W39" s="124">
        <v>1.05</v>
      </c>
      <c r="X39" s="124">
        <v>1.05</v>
      </c>
      <c r="Y39" s="124">
        <v>1.05</v>
      </c>
      <c r="Z39" s="124">
        <v>1.05</v>
      </c>
      <c r="AA39" s="124">
        <v>1.05</v>
      </c>
      <c r="AB39" s="124">
        <v>1.05</v>
      </c>
      <c r="AC39" s="124">
        <v>1.05</v>
      </c>
      <c r="AD39" s="124">
        <v>1.05</v>
      </c>
      <c r="AE39" s="124">
        <v>1.05</v>
      </c>
      <c r="AF39" s="124">
        <v>1.05</v>
      </c>
      <c r="AG39" s="124">
        <v>1.05</v>
      </c>
      <c r="AH39" s="124">
        <v>1.05</v>
      </c>
      <c r="AI39" s="124">
        <v>1.05</v>
      </c>
      <c r="AJ39" s="124">
        <v>1.05</v>
      </c>
      <c r="AK39" s="124">
        <v>1.05</v>
      </c>
      <c r="AL39" s="124">
        <v>1.05</v>
      </c>
      <c r="AM39" s="124">
        <v>1.05</v>
      </c>
      <c r="AN39" s="124">
        <v>1.05</v>
      </c>
      <c r="AO39" s="124">
        <v>1.05</v>
      </c>
      <c r="AP39" s="124">
        <v>1.05</v>
      </c>
      <c r="AQ39" s="124">
        <v>1.05</v>
      </c>
      <c r="AR39" s="124">
        <v>1.05</v>
      </c>
      <c r="AS39" s="124">
        <v>1.05</v>
      </c>
      <c r="AT39" s="124">
        <v>1.05</v>
      </c>
      <c r="AU39" s="124">
        <v>1.05</v>
      </c>
      <c r="AV39" s="124">
        <v>1.05</v>
      </c>
      <c r="AW39" s="124">
        <v>1.05</v>
      </c>
      <c r="AX39" s="124">
        <v>1.05</v>
      </c>
      <c r="AY39" s="124">
        <v>1.05</v>
      </c>
      <c r="AZ39" s="124">
        <v>1.05</v>
      </c>
      <c r="BA39" s="124">
        <v>1.05</v>
      </c>
      <c r="BB39" s="124">
        <v>1.05</v>
      </c>
      <c r="BC39" s="124">
        <v>1.05</v>
      </c>
      <c r="BD39" s="124">
        <v>1.05</v>
      </c>
      <c r="BE39" s="124">
        <v>1.05</v>
      </c>
      <c r="BF39" s="124">
        <v>1.05</v>
      </c>
      <c r="BG39" s="124">
        <v>1.05</v>
      </c>
      <c r="BH39" s="124">
        <v>1.05</v>
      </c>
      <c r="BI39" s="124">
        <v>1.05</v>
      </c>
      <c r="BJ39" s="124">
        <v>1.05</v>
      </c>
      <c r="BK39" s="124">
        <v>1.05</v>
      </c>
    </row>
    <row r="40" spans="1:63" ht="17.25" customHeight="1" x14ac:dyDescent="0.45">
      <c r="A40" s="91" t="s">
        <v>205</v>
      </c>
      <c r="B40" s="100" t="s">
        <v>207</v>
      </c>
      <c r="C40" s="102">
        <v>0.58499999999999996</v>
      </c>
      <c r="D40" s="102">
        <v>0.58499999999999996</v>
      </c>
      <c r="E40" s="102">
        <v>0.58499999999999996</v>
      </c>
      <c r="F40" s="102">
        <v>0.58499999999999996</v>
      </c>
      <c r="G40" s="102">
        <v>0.58499999999999996</v>
      </c>
      <c r="H40" s="102">
        <v>0.58499999999999996</v>
      </c>
      <c r="I40" s="102">
        <v>0.58499999999999996</v>
      </c>
      <c r="J40" s="102">
        <v>0.58499999999999996</v>
      </c>
      <c r="K40" s="102">
        <v>0.58499999999999996</v>
      </c>
      <c r="L40" s="102">
        <v>0.58499999999999996</v>
      </c>
      <c r="M40" s="102">
        <v>0.58499999999999996</v>
      </c>
      <c r="N40" s="102">
        <v>0.58499999999999996</v>
      </c>
      <c r="O40" s="102">
        <v>0.58499999999999996</v>
      </c>
      <c r="P40" s="102">
        <v>0.58499999999999996</v>
      </c>
      <c r="Q40" s="102">
        <v>0.58499999999999996</v>
      </c>
      <c r="R40" s="102">
        <v>0.58499999999999996</v>
      </c>
      <c r="S40" s="102">
        <v>0.58499999999999996</v>
      </c>
      <c r="T40" s="102">
        <v>0.61499999999999999</v>
      </c>
      <c r="U40" s="102">
        <v>0.61499999999999999</v>
      </c>
      <c r="V40" s="102">
        <v>0.61499999999999999</v>
      </c>
      <c r="W40" s="102">
        <v>0.61499999999999999</v>
      </c>
      <c r="X40" s="102">
        <v>0.61499999999999999</v>
      </c>
      <c r="Y40" s="102">
        <v>0.61499999999999999</v>
      </c>
      <c r="Z40" s="102">
        <v>0.61499999999999999</v>
      </c>
      <c r="AA40" s="102">
        <v>0.61499999999999999</v>
      </c>
      <c r="AB40" s="102">
        <v>0.61499999999999999</v>
      </c>
      <c r="AC40" s="102">
        <v>0.61499999999999999</v>
      </c>
      <c r="AD40" s="102">
        <v>0.61499999999999999</v>
      </c>
      <c r="AE40" s="102">
        <v>0.61499999999999999</v>
      </c>
      <c r="AF40" s="102">
        <v>0.61499999999999999</v>
      </c>
      <c r="AG40" s="102">
        <v>0.61499999999999999</v>
      </c>
      <c r="AH40" s="102">
        <v>0.61499999999999999</v>
      </c>
      <c r="AI40" s="102">
        <v>0.61499999999999999</v>
      </c>
      <c r="AJ40" s="102">
        <v>0.61499999999999999</v>
      </c>
      <c r="AK40" s="102">
        <v>0.67800000000000005</v>
      </c>
      <c r="AL40" s="102">
        <v>0.67800000000000005</v>
      </c>
      <c r="AM40" s="102">
        <v>0.67800000000000005</v>
      </c>
      <c r="AN40" s="102">
        <v>0.67800000000000005</v>
      </c>
      <c r="AO40" s="102">
        <v>0.67800000000000005</v>
      </c>
      <c r="AP40" s="102">
        <v>0.67800000000000005</v>
      </c>
      <c r="AQ40" s="102">
        <v>0.67800000000000005</v>
      </c>
      <c r="AR40" s="102">
        <v>0.67800000000000005</v>
      </c>
      <c r="AS40" s="102">
        <v>0.67800000000000005</v>
      </c>
      <c r="AT40" s="102">
        <v>0.67800000000000005</v>
      </c>
      <c r="AU40" s="102">
        <v>0.67800000000000005</v>
      </c>
      <c r="AV40" s="102">
        <v>0.67800000000000005</v>
      </c>
      <c r="AW40" s="102">
        <v>0.67800000000000005</v>
      </c>
      <c r="AX40" s="102">
        <v>0.67800000000000005</v>
      </c>
      <c r="AY40" s="102">
        <v>0.67800000000000005</v>
      </c>
      <c r="AZ40" s="102">
        <v>0.67800000000000005</v>
      </c>
      <c r="BA40" s="102">
        <v>0.67800000000000005</v>
      </c>
      <c r="BB40" s="102">
        <v>0.55700000000000005</v>
      </c>
      <c r="BC40" s="102">
        <v>0.55700000000000005</v>
      </c>
      <c r="BD40" s="102">
        <v>0.55700000000000005</v>
      </c>
      <c r="BE40" s="102">
        <v>0.55700000000000005</v>
      </c>
      <c r="BF40" s="102">
        <v>0.55700000000000005</v>
      </c>
      <c r="BG40" s="102">
        <v>0.67800000000000005</v>
      </c>
      <c r="BH40" s="102">
        <v>0.67800000000000005</v>
      </c>
      <c r="BI40" s="102">
        <v>0.67800000000000005</v>
      </c>
      <c r="BJ40" s="102">
        <v>0.67800000000000005</v>
      </c>
      <c r="BK40" s="102">
        <v>0.67800000000000005</v>
      </c>
    </row>
    <row r="41" spans="1:63" ht="17.25" customHeight="1" thickBot="1" x14ac:dyDescent="0.5">
      <c r="A41" s="92" t="s">
        <v>206</v>
      </c>
      <c r="B41" s="101" t="s">
        <v>207</v>
      </c>
      <c r="C41" s="103">
        <v>0.58499999999999996</v>
      </c>
      <c r="D41" s="103">
        <v>0.58499999999999996</v>
      </c>
      <c r="E41" s="103">
        <v>0.58499999999999996</v>
      </c>
      <c r="F41" s="103">
        <v>0.58499999999999996</v>
      </c>
      <c r="G41" s="103">
        <v>0.58499999999999996</v>
      </c>
      <c r="H41" s="103">
        <v>0.58499999999999996</v>
      </c>
      <c r="I41" s="103">
        <v>0.58499999999999996</v>
      </c>
      <c r="J41" s="103">
        <v>0.58499999999999996</v>
      </c>
      <c r="K41" s="103">
        <v>0.58499999999999996</v>
      </c>
      <c r="L41" s="103">
        <v>0.58499999999999996</v>
      </c>
      <c r="M41" s="103">
        <v>0.58499999999999996</v>
      </c>
      <c r="N41" s="103">
        <v>0.58499999999999996</v>
      </c>
      <c r="O41" s="103">
        <v>0.58499999999999996</v>
      </c>
      <c r="P41" s="103">
        <v>0.58499999999999996</v>
      </c>
      <c r="Q41" s="103">
        <v>0.58499999999999996</v>
      </c>
      <c r="R41" s="103">
        <v>0.58499999999999996</v>
      </c>
      <c r="S41" s="103">
        <v>0.58499999999999996</v>
      </c>
      <c r="T41" s="102">
        <v>0.61499999999999999</v>
      </c>
      <c r="U41" s="102">
        <v>0.61499999999999999</v>
      </c>
      <c r="V41" s="102">
        <v>0.61499999999999999</v>
      </c>
      <c r="W41" s="102">
        <v>0.61499999999999999</v>
      </c>
      <c r="X41" s="102">
        <v>0.61499999999999999</v>
      </c>
      <c r="Y41" s="102">
        <v>0.61499999999999999</v>
      </c>
      <c r="Z41" s="102">
        <v>0.61499999999999999</v>
      </c>
      <c r="AA41" s="102">
        <v>0.61499999999999999</v>
      </c>
      <c r="AB41" s="102">
        <v>0.61499999999999999</v>
      </c>
      <c r="AC41" s="102">
        <v>0.61499999999999999</v>
      </c>
      <c r="AD41" s="102">
        <v>0.61499999999999999</v>
      </c>
      <c r="AE41" s="102">
        <v>0.61499999999999999</v>
      </c>
      <c r="AF41" s="102">
        <v>0.61499999999999999</v>
      </c>
      <c r="AG41" s="102">
        <v>0.61499999999999999</v>
      </c>
      <c r="AH41" s="102">
        <v>0.61499999999999999</v>
      </c>
      <c r="AI41" s="102">
        <v>0.61499999999999999</v>
      </c>
      <c r="AJ41" s="102">
        <v>0.61499999999999999</v>
      </c>
      <c r="AK41" s="103">
        <v>0.67800000000000005</v>
      </c>
      <c r="AL41" s="103">
        <v>0.67800000000000005</v>
      </c>
      <c r="AM41" s="103">
        <v>0.67800000000000005</v>
      </c>
      <c r="AN41" s="103">
        <v>0.67800000000000005</v>
      </c>
      <c r="AO41" s="103">
        <v>0.67800000000000005</v>
      </c>
      <c r="AP41" s="103">
        <v>0.67800000000000005</v>
      </c>
      <c r="AQ41" s="103">
        <v>0.67800000000000005</v>
      </c>
      <c r="AR41" s="103">
        <v>0.67800000000000005</v>
      </c>
      <c r="AS41" s="103">
        <v>0.67800000000000005</v>
      </c>
      <c r="AT41" s="103">
        <v>0.67800000000000005</v>
      </c>
      <c r="AU41" s="103">
        <v>0.67800000000000005</v>
      </c>
      <c r="AV41" s="103">
        <v>0.67800000000000005</v>
      </c>
      <c r="AW41" s="103">
        <v>0.67800000000000005</v>
      </c>
      <c r="AX41" s="103">
        <v>0.67800000000000005</v>
      </c>
      <c r="AY41" s="103">
        <v>0.67800000000000005</v>
      </c>
      <c r="AZ41" s="103">
        <v>0.67800000000000005</v>
      </c>
      <c r="BA41" s="103">
        <v>0.67800000000000005</v>
      </c>
      <c r="BB41" s="103">
        <v>0.55700000000000005</v>
      </c>
      <c r="BC41" s="103">
        <v>0.55700000000000005</v>
      </c>
      <c r="BD41" s="103">
        <v>0.55700000000000005</v>
      </c>
      <c r="BE41" s="103">
        <v>0.55700000000000005</v>
      </c>
      <c r="BF41" s="103">
        <v>0.55700000000000005</v>
      </c>
      <c r="BG41" s="103">
        <v>0.67800000000000005</v>
      </c>
      <c r="BH41" s="103">
        <v>0.67800000000000005</v>
      </c>
      <c r="BI41" s="103">
        <v>0.67800000000000005</v>
      </c>
      <c r="BJ41" s="103">
        <v>0.67800000000000005</v>
      </c>
      <c r="BK41" s="103">
        <v>0.67800000000000005</v>
      </c>
    </row>
  </sheetData>
  <phoneticPr fontId="8" type="noConversion"/>
  <conditionalFormatting sqref="C2:S2">
    <cfRule type="duplicateValues" dxfId="44" priority="25"/>
  </conditionalFormatting>
  <conditionalFormatting sqref="C39:BK41">
    <cfRule type="containsText" dxfId="43" priority="47" operator="containsText" text="ON">
      <formula>NOT(ISERROR(SEARCH("ON",C39)))</formula>
    </cfRule>
    <cfRule type="containsText" dxfId="42" priority="48" operator="containsText" text="OFF">
      <formula>NOT(ISERROR(SEARCH("OFF",C39)))</formula>
    </cfRule>
    <cfRule type="containsText" dxfId="41" priority="49" operator="containsText" text="ENERG">
      <formula>NOT(ISERROR(SEARCH("ENERG",C39)))</formula>
    </cfRule>
  </conditionalFormatting>
  <conditionalFormatting sqref="I34:S37">
    <cfRule type="containsText" dxfId="40" priority="133" operator="containsText" text="OFF">
      <formula>NOT(ISERROR(SEARCH("OFF",I34)))</formula>
    </cfRule>
    <cfRule type="containsText" dxfId="39" priority="134" operator="containsText" text="SWITCH">
      <formula>NOT(ISERROR(SEARCH("SWITCH",I34)))</formula>
    </cfRule>
    <cfRule type="containsText" dxfId="38" priority="135" operator="containsText" text="ON">
      <formula>NOT(ISERROR(SEARCH("ON",I34)))</formula>
    </cfRule>
  </conditionalFormatting>
  <conditionalFormatting sqref="Q3:S32">
    <cfRule type="containsText" dxfId="37" priority="130" operator="containsText" text="OFF">
      <formula>NOT(ISERROR(SEARCH("OFF",Q3)))</formula>
    </cfRule>
    <cfRule type="containsText" dxfId="36" priority="131" operator="containsText" text="SWITCH">
      <formula>NOT(ISERROR(SEARCH("SWITCH",Q3)))</formula>
    </cfRule>
    <cfRule type="containsText" dxfId="35" priority="132" operator="containsText" text="ON">
      <formula>NOT(ISERROR(SEARCH("ON",Q3)))</formula>
    </cfRule>
  </conditionalFormatting>
  <conditionalFormatting sqref="T2:AJ2">
    <cfRule type="duplicateValues" dxfId="34" priority="26"/>
  </conditionalFormatting>
  <conditionalFormatting sqref="T3:AJ23 I3:P33 AQ3:AX33 C3:H37 AK3:AP37 BB3:BK37 T24:Y37">
    <cfRule type="containsText" dxfId="33" priority="326" operator="containsText" text="OFF">
      <formula>NOT(ISERROR(SEARCH("OFF",C3)))</formula>
    </cfRule>
    <cfRule type="containsText" dxfId="32" priority="327" operator="containsText" text="SWITCH">
      <formula>NOT(ISERROR(SEARCH("SWITCH",C3)))</formula>
    </cfRule>
    <cfRule type="containsText" dxfId="31" priority="328" operator="containsText" text="ON">
      <formula>NOT(ISERROR(SEARCH("ON",C3)))</formula>
    </cfRule>
  </conditionalFormatting>
  <conditionalFormatting sqref="Z24:AG33">
    <cfRule type="containsText" dxfId="30" priority="107" operator="containsText" text="OFF">
      <formula>NOT(ISERROR(SEARCH("OFF",Z24)))</formula>
    </cfRule>
    <cfRule type="containsText" dxfId="29" priority="108" operator="containsText" text="SWITCH">
      <formula>NOT(ISERROR(SEARCH("SWITCH",Z24)))</formula>
    </cfRule>
    <cfRule type="containsText" dxfId="28" priority="109" operator="containsText" text="ON">
      <formula>NOT(ISERROR(SEARCH("ON",Z24)))</formula>
    </cfRule>
  </conditionalFormatting>
  <conditionalFormatting sqref="Z34:AJ37">
    <cfRule type="containsText" dxfId="27" priority="95" operator="containsText" text="OFF">
      <formula>NOT(ISERROR(SEARCH("OFF",Z34)))</formula>
    </cfRule>
    <cfRule type="containsText" dxfId="26" priority="96" operator="containsText" text="SWITCH">
      <formula>NOT(ISERROR(SEARCH("SWITCH",Z34)))</formula>
    </cfRule>
    <cfRule type="containsText" dxfId="25" priority="97" operator="containsText" text="ON">
      <formula>NOT(ISERROR(SEARCH("ON",Z34)))</formula>
    </cfRule>
  </conditionalFormatting>
  <conditionalFormatting sqref="AH24:AJ32">
    <cfRule type="containsText" dxfId="24" priority="92" operator="containsText" text="OFF">
      <formula>NOT(ISERROR(SEARCH("OFF",AH24)))</formula>
    </cfRule>
    <cfRule type="containsText" dxfId="23" priority="93" operator="containsText" text="SWITCH">
      <formula>NOT(ISERROR(SEARCH("SWITCH",AH24)))</formula>
    </cfRule>
    <cfRule type="containsText" dxfId="22" priority="94" operator="containsText" text="ON">
      <formula>NOT(ISERROR(SEARCH("ON",AH24)))</formula>
    </cfRule>
  </conditionalFormatting>
  <conditionalFormatting sqref="AK2:BA2">
    <cfRule type="duplicateValues" dxfId="21" priority="24"/>
  </conditionalFormatting>
  <conditionalFormatting sqref="AQ34:BA37">
    <cfRule type="containsText" dxfId="20" priority="36" operator="containsText" text="OFF">
      <formula>NOT(ISERROR(SEARCH("OFF",AQ34)))</formula>
    </cfRule>
    <cfRule type="containsText" dxfId="19" priority="37" operator="containsText" text="SWITCH">
      <formula>NOT(ISERROR(SEARCH("SWITCH",AQ34)))</formula>
    </cfRule>
    <cfRule type="containsText" dxfId="18" priority="38" operator="containsText" text="ON">
      <formula>NOT(ISERROR(SEARCH("ON",AQ34)))</formula>
    </cfRule>
  </conditionalFormatting>
  <conditionalFormatting sqref="AY3:BA32">
    <cfRule type="containsText" dxfId="17" priority="33" operator="containsText" text="OFF">
      <formula>NOT(ISERROR(SEARCH("OFF",AY3)))</formula>
    </cfRule>
    <cfRule type="containsText" dxfId="16" priority="34" operator="containsText" text="SWITCH">
      <formula>NOT(ISERROR(SEARCH("SWITCH",AY3)))</formula>
    </cfRule>
    <cfRule type="containsText" dxfId="15" priority="35" operator="containsText" text="ON">
      <formula>NOT(ISERROR(SEARCH("ON",AY3)))</formula>
    </cfRule>
  </conditionalFormatting>
  <conditionalFormatting sqref="BB2:BF2">
    <cfRule type="duplicateValues" dxfId="14" priority="761"/>
  </conditionalFormatting>
  <conditionalFormatting sqref="BG2:BK2">
    <cfRule type="duplicateValues" dxfId="13" priority="801"/>
  </conditionalFormatting>
  <pageMargins left="0.7" right="0.7" top="0.75" bottom="0.75" header="0.3" footer="0.3"/>
  <pageSetup paperSize="9" orientation="portrait" r:id="rId1"/>
  <headerFooter>
    <oddHeader>&amp;R&amp;"Arial Black"&amp;10&amp;K4099DA INTERNAL&amp;1#_x000D_</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31F7-1FB7-43A5-B584-981BCEA8E4C8}">
  <dimension ref="A1:BK23"/>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8.73046875" defaultRowHeight="18" customHeight="1" x14ac:dyDescent="0.45"/>
  <cols>
    <col min="1" max="1" width="15.3984375" style="68" bestFit="1" customWidth="1"/>
    <col min="2" max="3" width="12.3984375" style="68" bestFit="1" customWidth="1"/>
    <col min="4" max="4" width="11.59765625" style="68" bestFit="1" customWidth="1"/>
    <col min="5" max="6" width="13.73046875" style="68" bestFit="1" customWidth="1"/>
    <col min="7" max="7" width="12.73046875" style="68" bestFit="1" customWidth="1"/>
    <col min="8" max="8" width="11.59765625" style="68" bestFit="1" customWidth="1"/>
    <col min="9" max="9" width="13.3984375" style="68" bestFit="1" customWidth="1"/>
    <col min="10" max="10" width="13.73046875" style="68" bestFit="1" customWidth="1"/>
    <col min="11" max="12" width="13.3984375" style="68" bestFit="1" customWidth="1"/>
    <col min="13" max="13" width="12.3984375" style="68" bestFit="1" customWidth="1"/>
    <col min="14" max="14" width="13.3984375" style="68" bestFit="1" customWidth="1"/>
    <col min="15" max="16" width="12.3984375" style="68" bestFit="1" customWidth="1"/>
    <col min="17" max="18" width="11.265625" style="68" bestFit="1" customWidth="1"/>
    <col min="19" max="19" width="12.86328125" style="68" bestFit="1" customWidth="1"/>
    <col min="20" max="20" width="12.3984375" style="68" bestFit="1" customWidth="1"/>
    <col min="21" max="21" width="11.59765625" style="68" bestFit="1" customWidth="1"/>
    <col min="22" max="23" width="13.73046875" style="68" bestFit="1" customWidth="1"/>
    <col min="24" max="24" width="12.73046875" style="68" bestFit="1" customWidth="1"/>
    <col min="25" max="25" width="11.59765625" style="68" bestFit="1" customWidth="1"/>
    <col min="26" max="26" width="13.3984375" style="68" bestFit="1" customWidth="1"/>
    <col min="27" max="27" width="13.73046875" style="68" bestFit="1" customWidth="1"/>
    <col min="28" max="29" width="13.3984375" style="68" bestFit="1" customWidth="1"/>
    <col min="30" max="30" width="12.3984375" style="68" bestFit="1" customWidth="1"/>
    <col min="31" max="31" width="13.3984375" style="68" bestFit="1" customWidth="1"/>
    <col min="32" max="33" width="12.3984375" style="68" bestFit="1" customWidth="1"/>
    <col min="34" max="35" width="11.265625" style="68" bestFit="1" customWidth="1"/>
    <col min="36" max="36" width="12.86328125" style="68" bestFit="1" customWidth="1"/>
    <col min="37" max="37" width="12.3984375" style="68" bestFit="1" customWidth="1"/>
    <col min="38" max="38" width="11.59765625" style="68" bestFit="1" customWidth="1"/>
    <col min="39" max="40" width="13.73046875" style="68" bestFit="1" customWidth="1"/>
    <col min="41" max="41" width="12.73046875" style="68" bestFit="1" customWidth="1"/>
    <col min="42" max="42" width="11.59765625" style="68" bestFit="1" customWidth="1"/>
    <col min="43" max="43" width="13.3984375" style="68" bestFit="1" customWidth="1"/>
    <col min="44" max="44" width="13.73046875" style="68" bestFit="1" customWidth="1"/>
    <col min="45" max="46" width="13.3984375" style="68" bestFit="1" customWidth="1"/>
    <col min="47" max="47" width="12.3984375" style="68" bestFit="1" customWidth="1"/>
    <col min="48" max="48" width="13.3984375" style="68" bestFit="1" customWidth="1"/>
    <col min="49" max="50" width="12.3984375" style="68" bestFit="1" customWidth="1"/>
    <col min="51" max="52" width="11.265625" style="68" bestFit="1" customWidth="1"/>
    <col min="53" max="53" width="12.86328125" style="68" bestFit="1" customWidth="1"/>
    <col min="54" max="54" width="13.73046875" style="68" bestFit="1" customWidth="1"/>
    <col min="55" max="55" width="12.73046875" style="68" bestFit="1" customWidth="1"/>
    <col min="56" max="56" width="13.73046875" style="68" bestFit="1" customWidth="1"/>
    <col min="57" max="57" width="14.59765625" style="68" bestFit="1" customWidth="1"/>
    <col min="58" max="59" width="13.73046875" style="68" bestFit="1" customWidth="1"/>
    <col min="60" max="60" width="12.73046875" style="68" bestFit="1" customWidth="1"/>
    <col min="61" max="61" width="13.73046875" style="68" bestFit="1" customWidth="1"/>
    <col min="62" max="62" width="14.59765625" style="68" bestFit="1" customWidth="1"/>
    <col min="63" max="63" width="13.73046875" style="68" bestFit="1" customWidth="1"/>
    <col min="64" max="16384" width="8.73046875" style="68"/>
  </cols>
  <sheetData>
    <row r="1" spans="1:63" ht="18" customHeight="1" thickBot="1" x14ac:dyDescent="0.5">
      <c r="A1" s="66" t="s">
        <v>40</v>
      </c>
      <c r="B1" s="6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row>
    <row r="2" spans="1:63" ht="18" customHeight="1" thickBot="1" x14ac:dyDescent="0.5">
      <c r="A2" s="84" t="s">
        <v>41</v>
      </c>
      <c r="B2" s="110" t="s">
        <v>44</v>
      </c>
      <c r="C2" s="138" t="s">
        <v>245</v>
      </c>
      <c r="D2" s="138" t="s">
        <v>310</v>
      </c>
      <c r="E2" s="138" t="s">
        <v>246</v>
      </c>
      <c r="F2" s="138" t="s">
        <v>249</v>
      </c>
      <c r="G2" s="138" t="s">
        <v>263</v>
      </c>
      <c r="H2" s="138" t="s">
        <v>264</v>
      </c>
      <c r="I2" s="138" t="s">
        <v>313</v>
      </c>
      <c r="J2" s="141" t="s">
        <v>250</v>
      </c>
      <c r="K2" s="138" t="s">
        <v>251</v>
      </c>
      <c r="L2" s="138" t="s">
        <v>252</v>
      </c>
      <c r="M2" s="138" t="s">
        <v>253</v>
      </c>
      <c r="N2" s="138" t="s">
        <v>254</v>
      </c>
      <c r="O2" s="138" t="s">
        <v>265</v>
      </c>
      <c r="P2" s="138" t="s">
        <v>316</v>
      </c>
      <c r="Q2" s="138" t="s">
        <v>266</v>
      </c>
      <c r="R2" s="138" t="s">
        <v>267</v>
      </c>
      <c r="S2" s="138" t="s">
        <v>268</v>
      </c>
      <c r="T2" s="138" t="s">
        <v>247</v>
      </c>
      <c r="U2" s="138" t="s">
        <v>311</v>
      </c>
      <c r="V2" s="138" t="s">
        <v>248</v>
      </c>
      <c r="W2" s="138" t="s">
        <v>255</v>
      </c>
      <c r="X2" s="138" t="s">
        <v>261</v>
      </c>
      <c r="Y2" s="138" t="s">
        <v>262</v>
      </c>
      <c r="Z2" s="138" t="s">
        <v>314</v>
      </c>
      <c r="AA2" s="141" t="s">
        <v>256</v>
      </c>
      <c r="AB2" s="138" t="s">
        <v>257</v>
      </c>
      <c r="AC2" s="138" t="s">
        <v>258</v>
      </c>
      <c r="AD2" s="138" t="s">
        <v>259</v>
      </c>
      <c r="AE2" s="138" t="s">
        <v>260</v>
      </c>
      <c r="AF2" s="138" t="s">
        <v>269</v>
      </c>
      <c r="AG2" s="138" t="s">
        <v>317</v>
      </c>
      <c r="AH2" s="138" t="s">
        <v>270</v>
      </c>
      <c r="AI2" s="138" t="s">
        <v>271</v>
      </c>
      <c r="AJ2" s="138" t="s">
        <v>272</v>
      </c>
      <c r="AK2" s="138" t="s">
        <v>297</v>
      </c>
      <c r="AL2" s="138" t="s">
        <v>312</v>
      </c>
      <c r="AM2" s="138" t="s">
        <v>298</v>
      </c>
      <c r="AN2" s="138" t="s">
        <v>299</v>
      </c>
      <c r="AO2" s="138" t="s">
        <v>300</v>
      </c>
      <c r="AP2" s="138" t="s">
        <v>301</v>
      </c>
      <c r="AQ2" s="138" t="s">
        <v>315</v>
      </c>
      <c r="AR2" s="141" t="s">
        <v>302</v>
      </c>
      <c r="AS2" s="138" t="s">
        <v>303</v>
      </c>
      <c r="AT2" s="138" t="s">
        <v>304</v>
      </c>
      <c r="AU2" s="138" t="s">
        <v>305</v>
      </c>
      <c r="AV2" s="138" t="s">
        <v>306</v>
      </c>
      <c r="AW2" s="138" t="s">
        <v>273</v>
      </c>
      <c r="AX2" s="138" t="s">
        <v>318</v>
      </c>
      <c r="AY2" s="138" t="s">
        <v>307</v>
      </c>
      <c r="AZ2" s="138" t="s">
        <v>308</v>
      </c>
      <c r="BA2" s="138" t="s">
        <v>309</v>
      </c>
      <c r="BB2" s="138" t="s">
        <v>320</v>
      </c>
      <c r="BC2" s="138" t="s">
        <v>321</v>
      </c>
      <c r="BD2" s="138" t="s">
        <v>322</v>
      </c>
      <c r="BE2" s="138" t="s">
        <v>323</v>
      </c>
      <c r="BF2" s="138" t="s">
        <v>324</v>
      </c>
      <c r="BG2" s="138" t="s">
        <v>325</v>
      </c>
      <c r="BH2" s="138" t="s">
        <v>326</v>
      </c>
      <c r="BI2" s="138" t="s">
        <v>327</v>
      </c>
      <c r="BJ2" s="138" t="s">
        <v>328</v>
      </c>
      <c r="BK2" s="138" t="s">
        <v>329</v>
      </c>
    </row>
    <row r="3" spans="1:63" ht="18" customHeight="1" thickBot="1" x14ac:dyDescent="0.5">
      <c r="A3" s="108" t="s">
        <v>38</v>
      </c>
      <c r="B3" s="156" t="s">
        <v>229</v>
      </c>
      <c r="C3" s="155" t="s">
        <v>71</v>
      </c>
      <c r="D3" s="155" t="s">
        <v>233</v>
      </c>
      <c r="E3" s="155" t="s">
        <v>233</v>
      </c>
      <c r="F3" s="155" t="s">
        <v>233</v>
      </c>
      <c r="G3" s="155" t="s">
        <v>233</v>
      </c>
      <c r="H3" s="155" t="s">
        <v>233</v>
      </c>
      <c r="I3" s="155" t="s">
        <v>233</v>
      </c>
      <c r="J3" s="155" t="s">
        <v>233</v>
      </c>
      <c r="K3" s="155" t="s">
        <v>233</v>
      </c>
      <c r="L3" s="155" t="s">
        <v>233</v>
      </c>
      <c r="M3" s="155" t="s">
        <v>233</v>
      </c>
      <c r="N3" s="155" t="s">
        <v>233</v>
      </c>
      <c r="O3" s="155" t="s">
        <v>233</v>
      </c>
      <c r="P3" s="155" t="s">
        <v>233</v>
      </c>
      <c r="Q3" s="155" t="s">
        <v>233</v>
      </c>
      <c r="R3" s="155" t="s">
        <v>233</v>
      </c>
      <c r="S3" s="153" t="s">
        <v>233</v>
      </c>
      <c r="T3" s="155" t="s">
        <v>71</v>
      </c>
      <c r="U3" s="155" t="s">
        <v>233</v>
      </c>
      <c r="V3" s="155" t="s">
        <v>233</v>
      </c>
      <c r="W3" s="155" t="s">
        <v>233</v>
      </c>
      <c r="X3" s="155" t="s">
        <v>233</v>
      </c>
      <c r="Y3" s="155" t="s">
        <v>233</v>
      </c>
      <c r="Z3" s="155" t="s">
        <v>233</v>
      </c>
      <c r="AA3" s="155" t="s">
        <v>233</v>
      </c>
      <c r="AB3" s="155" t="s">
        <v>233</v>
      </c>
      <c r="AC3" s="155" t="s">
        <v>233</v>
      </c>
      <c r="AD3" s="155" t="s">
        <v>233</v>
      </c>
      <c r="AE3" s="155" t="s">
        <v>233</v>
      </c>
      <c r="AF3" s="155" t="s">
        <v>233</v>
      </c>
      <c r="AG3" s="155" t="s">
        <v>233</v>
      </c>
      <c r="AH3" s="155" t="s">
        <v>233</v>
      </c>
      <c r="AI3" s="155" t="s">
        <v>233</v>
      </c>
      <c r="AJ3" s="153" t="s">
        <v>233</v>
      </c>
      <c r="AK3" s="155" t="s">
        <v>71</v>
      </c>
      <c r="AL3" s="155" t="s">
        <v>233</v>
      </c>
      <c r="AM3" s="155" t="s">
        <v>233</v>
      </c>
      <c r="AN3" s="155" t="s">
        <v>233</v>
      </c>
      <c r="AO3" s="155" t="s">
        <v>233</v>
      </c>
      <c r="AP3" s="155" t="s">
        <v>233</v>
      </c>
      <c r="AQ3" s="155" t="s">
        <v>233</v>
      </c>
      <c r="AR3" s="155" t="s">
        <v>233</v>
      </c>
      <c r="AS3" s="155" t="s">
        <v>233</v>
      </c>
      <c r="AT3" s="155" t="s">
        <v>233</v>
      </c>
      <c r="AU3" s="155" t="s">
        <v>233</v>
      </c>
      <c r="AV3" s="155" t="s">
        <v>233</v>
      </c>
      <c r="AW3" s="155" t="s">
        <v>233</v>
      </c>
      <c r="AX3" s="155" t="s">
        <v>233</v>
      </c>
      <c r="AY3" s="155" t="s">
        <v>233</v>
      </c>
      <c r="AZ3" s="155" t="s">
        <v>233</v>
      </c>
      <c r="BA3" s="153" t="s">
        <v>233</v>
      </c>
      <c r="BB3" s="154" t="s">
        <v>71</v>
      </c>
      <c r="BC3" s="153" t="s">
        <v>233</v>
      </c>
      <c r="BD3" s="153" t="s">
        <v>233</v>
      </c>
      <c r="BE3" s="153" t="s">
        <v>233</v>
      </c>
      <c r="BF3" s="153" t="s">
        <v>233</v>
      </c>
      <c r="BG3" s="154" t="s">
        <v>71</v>
      </c>
      <c r="BH3" s="153" t="s">
        <v>233</v>
      </c>
      <c r="BI3" s="153" t="s">
        <v>233</v>
      </c>
      <c r="BJ3" s="153" t="s">
        <v>233</v>
      </c>
      <c r="BK3" s="153" t="s">
        <v>233</v>
      </c>
    </row>
    <row r="4" spans="1:63" ht="18" customHeight="1" thickBot="1" x14ac:dyDescent="0.5">
      <c r="A4" s="108" t="s">
        <v>38</v>
      </c>
      <c r="B4" s="156" t="s">
        <v>286</v>
      </c>
      <c r="C4" s="153" t="s">
        <v>233</v>
      </c>
      <c r="D4" s="153" t="s">
        <v>71</v>
      </c>
      <c r="E4" s="153" t="s">
        <v>233</v>
      </c>
      <c r="F4" s="153" t="s">
        <v>233</v>
      </c>
      <c r="G4" s="153" t="s">
        <v>233</v>
      </c>
      <c r="H4" s="153" t="s">
        <v>233</v>
      </c>
      <c r="I4" s="153" t="s">
        <v>233</v>
      </c>
      <c r="J4" s="153" t="s">
        <v>233</v>
      </c>
      <c r="K4" s="153" t="s">
        <v>233</v>
      </c>
      <c r="L4" s="153" t="s">
        <v>233</v>
      </c>
      <c r="M4" s="153" t="s">
        <v>233</v>
      </c>
      <c r="N4" s="153" t="s">
        <v>233</v>
      </c>
      <c r="O4" s="153" t="s">
        <v>233</v>
      </c>
      <c r="P4" s="153" t="s">
        <v>233</v>
      </c>
      <c r="Q4" s="153" t="s">
        <v>233</v>
      </c>
      <c r="R4" s="153" t="s">
        <v>233</v>
      </c>
      <c r="S4" s="153" t="s">
        <v>233</v>
      </c>
      <c r="T4" s="153" t="s">
        <v>233</v>
      </c>
      <c r="U4" s="153" t="s">
        <v>71</v>
      </c>
      <c r="V4" s="153" t="s">
        <v>233</v>
      </c>
      <c r="W4" s="153" t="s">
        <v>233</v>
      </c>
      <c r="X4" s="153" t="s">
        <v>233</v>
      </c>
      <c r="Y4" s="153" t="s">
        <v>233</v>
      </c>
      <c r="Z4" s="153" t="s">
        <v>233</v>
      </c>
      <c r="AA4" s="153" t="s">
        <v>233</v>
      </c>
      <c r="AB4" s="153" t="s">
        <v>233</v>
      </c>
      <c r="AC4" s="153" t="s">
        <v>233</v>
      </c>
      <c r="AD4" s="153" t="s">
        <v>233</v>
      </c>
      <c r="AE4" s="153" t="s">
        <v>233</v>
      </c>
      <c r="AF4" s="153" t="s">
        <v>233</v>
      </c>
      <c r="AG4" s="153" t="s">
        <v>233</v>
      </c>
      <c r="AH4" s="153" t="s">
        <v>233</v>
      </c>
      <c r="AI4" s="153" t="s">
        <v>233</v>
      </c>
      <c r="AJ4" s="153" t="s">
        <v>233</v>
      </c>
      <c r="AK4" s="153" t="s">
        <v>233</v>
      </c>
      <c r="AL4" s="153" t="s">
        <v>71</v>
      </c>
      <c r="AM4" s="153" t="s">
        <v>233</v>
      </c>
      <c r="AN4" s="153" t="s">
        <v>233</v>
      </c>
      <c r="AO4" s="153" t="s">
        <v>233</v>
      </c>
      <c r="AP4" s="153" t="s">
        <v>233</v>
      </c>
      <c r="AQ4" s="153" t="s">
        <v>233</v>
      </c>
      <c r="AR4" s="153" t="s">
        <v>233</v>
      </c>
      <c r="AS4" s="153" t="s">
        <v>233</v>
      </c>
      <c r="AT4" s="153" t="s">
        <v>233</v>
      </c>
      <c r="AU4" s="153" t="s">
        <v>233</v>
      </c>
      <c r="AV4" s="153" t="s">
        <v>233</v>
      </c>
      <c r="AW4" s="153" t="s">
        <v>233</v>
      </c>
      <c r="AX4" s="153" t="s">
        <v>233</v>
      </c>
      <c r="AY4" s="153" t="s">
        <v>233</v>
      </c>
      <c r="AZ4" s="153" t="s">
        <v>233</v>
      </c>
      <c r="BA4" s="153" t="s">
        <v>233</v>
      </c>
      <c r="BB4" s="153" t="s">
        <v>233</v>
      </c>
      <c r="BC4" s="153" t="s">
        <v>233</v>
      </c>
      <c r="BD4" s="153" t="s">
        <v>233</v>
      </c>
      <c r="BE4" s="153" t="s">
        <v>233</v>
      </c>
      <c r="BF4" s="153" t="s">
        <v>233</v>
      </c>
      <c r="BG4" s="153" t="s">
        <v>233</v>
      </c>
      <c r="BH4" s="153" t="s">
        <v>233</v>
      </c>
      <c r="BI4" s="153" t="s">
        <v>233</v>
      </c>
      <c r="BJ4" s="153" t="s">
        <v>233</v>
      </c>
      <c r="BK4" s="153" t="s">
        <v>233</v>
      </c>
    </row>
    <row r="5" spans="1:63" ht="18" customHeight="1" thickBot="1" x14ac:dyDescent="0.5">
      <c r="A5" s="108" t="s">
        <v>38</v>
      </c>
      <c r="B5" s="156" t="s">
        <v>287</v>
      </c>
      <c r="C5" s="153" t="s">
        <v>233</v>
      </c>
      <c r="D5" s="153" t="s">
        <v>233</v>
      </c>
      <c r="E5" s="153" t="s">
        <v>71</v>
      </c>
      <c r="F5" s="153" t="s">
        <v>233</v>
      </c>
      <c r="G5" s="153" t="s">
        <v>233</v>
      </c>
      <c r="H5" s="153" t="s">
        <v>233</v>
      </c>
      <c r="I5" s="153" t="s">
        <v>233</v>
      </c>
      <c r="J5" s="153" t="s">
        <v>233</v>
      </c>
      <c r="K5" s="153" t="s">
        <v>233</v>
      </c>
      <c r="L5" s="153" t="s">
        <v>233</v>
      </c>
      <c r="M5" s="153" t="s">
        <v>233</v>
      </c>
      <c r="N5" s="153" t="s">
        <v>233</v>
      </c>
      <c r="O5" s="153" t="s">
        <v>233</v>
      </c>
      <c r="P5" s="153" t="s">
        <v>233</v>
      </c>
      <c r="Q5" s="153" t="s">
        <v>233</v>
      </c>
      <c r="R5" s="153" t="s">
        <v>233</v>
      </c>
      <c r="S5" s="153" t="s">
        <v>233</v>
      </c>
      <c r="T5" s="153" t="s">
        <v>233</v>
      </c>
      <c r="U5" s="153" t="s">
        <v>233</v>
      </c>
      <c r="V5" s="153" t="s">
        <v>71</v>
      </c>
      <c r="W5" s="153" t="s">
        <v>233</v>
      </c>
      <c r="X5" s="153" t="s">
        <v>233</v>
      </c>
      <c r="Y5" s="153" t="s">
        <v>233</v>
      </c>
      <c r="Z5" s="153" t="s">
        <v>233</v>
      </c>
      <c r="AA5" s="153" t="s">
        <v>233</v>
      </c>
      <c r="AB5" s="153" t="s">
        <v>233</v>
      </c>
      <c r="AC5" s="153" t="s">
        <v>233</v>
      </c>
      <c r="AD5" s="153" t="s">
        <v>233</v>
      </c>
      <c r="AE5" s="153" t="s">
        <v>233</v>
      </c>
      <c r="AF5" s="153" t="s">
        <v>233</v>
      </c>
      <c r="AG5" s="153" t="s">
        <v>233</v>
      </c>
      <c r="AH5" s="153" t="s">
        <v>233</v>
      </c>
      <c r="AI5" s="153" t="s">
        <v>233</v>
      </c>
      <c r="AJ5" s="153" t="s">
        <v>233</v>
      </c>
      <c r="AK5" s="153" t="s">
        <v>233</v>
      </c>
      <c r="AL5" s="153" t="s">
        <v>233</v>
      </c>
      <c r="AM5" s="153" t="s">
        <v>71</v>
      </c>
      <c r="AN5" s="153" t="s">
        <v>233</v>
      </c>
      <c r="AO5" s="153" t="s">
        <v>233</v>
      </c>
      <c r="AP5" s="153" t="s">
        <v>233</v>
      </c>
      <c r="AQ5" s="153" t="s">
        <v>233</v>
      </c>
      <c r="AR5" s="153" t="s">
        <v>233</v>
      </c>
      <c r="AS5" s="153" t="s">
        <v>233</v>
      </c>
      <c r="AT5" s="153" t="s">
        <v>233</v>
      </c>
      <c r="AU5" s="153" t="s">
        <v>233</v>
      </c>
      <c r="AV5" s="153" t="s">
        <v>233</v>
      </c>
      <c r="AW5" s="153" t="s">
        <v>233</v>
      </c>
      <c r="AX5" s="153" t="s">
        <v>233</v>
      </c>
      <c r="AY5" s="153" t="s">
        <v>233</v>
      </c>
      <c r="AZ5" s="153" t="s">
        <v>233</v>
      </c>
      <c r="BA5" s="153" t="s">
        <v>233</v>
      </c>
      <c r="BB5" s="153" t="s">
        <v>233</v>
      </c>
      <c r="BC5" s="153" t="s">
        <v>233</v>
      </c>
      <c r="BD5" s="153" t="s">
        <v>233</v>
      </c>
      <c r="BE5" s="153" t="s">
        <v>233</v>
      </c>
      <c r="BF5" s="153" t="s">
        <v>233</v>
      </c>
      <c r="BG5" s="153" t="s">
        <v>233</v>
      </c>
      <c r="BH5" s="153" t="s">
        <v>233</v>
      </c>
      <c r="BI5" s="153" t="s">
        <v>233</v>
      </c>
      <c r="BJ5" s="153" t="s">
        <v>233</v>
      </c>
      <c r="BK5" s="153" t="s">
        <v>233</v>
      </c>
    </row>
    <row r="6" spans="1:63" ht="18" customHeight="1" thickBot="1" x14ac:dyDescent="0.5">
      <c r="A6" s="108" t="s">
        <v>38</v>
      </c>
      <c r="B6" s="156" t="s">
        <v>288</v>
      </c>
      <c r="C6" s="153" t="s">
        <v>233</v>
      </c>
      <c r="D6" s="153" t="s">
        <v>233</v>
      </c>
      <c r="E6" s="153" t="s">
        <v>233</v>
      </c>
      <c r="F6" s="153" t="s">
        <v>71</v>
      </c>
      <c r="G6" s="153" t="s">
        <v>233</v>
      </c>
      <c r="H6" s="153" t="s">
        <v>233</v>
      </c>
      <c r="I6" s="153" t="s">
        <v>233</v>
      </c>
      <c r="J6" s="153" t="s">
        <v>233</v>
      </c>
      <c r="K6" s="153" t="s">
        <v>233</v>
      </c>
      <c r="L6" s="153" t="s">
        <v>233</v>
      </c>
      <c r="M6" s="153" t="s">
        <v>233</v>
      </c>
      <c r="N6" s="153" t="s">
        <v>233</v>
      </c>
      <c r="O6" s="153" t="s">
        <v>233</v>
      </c>
      <c r="P6" s="153" t="s">
        <v>233</v>
      </c>
      <c r="Q6" s="153" t="s">
        <v>233</v>
      </c>
      <c r="R6" s="153" t="s">
        <v>233</v>
      </c>
      <c r="S6" s="153" t="s">
        <v>233</v>
      </c>
      <c r="T6" s="153" t="s">
        <v>233</v>
      </c>
      <c r="U6" s="153" t="s">
        <v>233</v>
      </c>
      <c r="V6" s="153" t="s">
        <v>233</v>
      </c>
      <c r="W6" s="153" t="s">
        <v>71</v>
      </c>
      <c r="X6" s="153" t="s">
        <v>233</v>
      </c>
      <c r="Y6" s="153" t="s">
        <v>233</v>
      </c>
      <c r="Z6" s="153" t="s">
        <v>233</v>
      </c>
      <c r="AA6" s="153" t="s">
        <v>233</v>
      </c>
      <c r="AB6" s="153" t="s">
        <v>233</v>
      </c>
      <c r="AC6" s="153" t="s">
        <v>233</v>
      </c>
      <c r="AD6" s="153" t="s">
        <v>233</v>
      </c>
      <c r="AE6" s="153" t="s">
        <v>233</v>
      </c>
      <c r="AF6" s="153" t="s">
        <v>233</v>
      </c>
      <c r="AG6" s="153" t="s">
        <v>233</v>
      </c>
      <c r="AH6" s="153" t="s">
        <v>233</v>
      </c>
      <c r="AI6" s="153" t="s">
        <v>233</v>
      </c>
      <c r="AJ6" s="153" t="s">
        <v>233</v>
      </c>
      <c r="AK6" s="153" t="s">
        <v>233</v>
      </c>
      <c r="AL6" s="153" t="s">
        <v>233</v>
      </c>
      <c r="AM6" s="153" t="s">
        <v>233</v>
      </c>
      <c r="AN6" s="153" t="s">
        <v>71</v>
      </c>
      <c r="AO6" s="153" t="s">
        <v>233</v>
      </c>
      <c r="AP6" s="153" t="s">
        <v>233</v>
      </c>
      <c r="AQ6" s="153" t="s">
        <v>233</v>
      </c>
      <c r="AR6" s="153" t="s">
        <v>233</v>
      </c>
      <c r="AS6" s="153" t="s">
        <v>233</v>
      </c>
      <c r="AT6" s="153" t="s">
        <v>233</v>
      </c>
      <c r="AU6" s="153" t="s">
        <v>233</v>
      </c>
      <c r="AV6" s="153" t="s">
        <v>233</v>
      </c>
      <c r="AW6" s="153" t="s">
        <v>233</v>
      </c>
      <c r="AX6" s="153" t="s">
        <v>233</v>
      </c>
      <c r="AY6" s="153" t="s">
        <v>233</v>
      </c>
      <c r="AZ6" s="153" t="s">
        <v>233</v>
      </c>
      <c r="BA6" s="153" t="s">
        <v>233</v>
      </c>
      <c r="BB6" s="153" t="s">
        <v>233</v>
      </c>
      <c r="BC6" s="153" t="s">
        <v>233</v>
      </c>
      <c r="BD6" s="153" t="s">
        <v>233</v>
      </c>
      <c r="BE6" s="153" t="s">
        <v>233</v>
      </c>
      <c r="BF6" s="153" t="s">
        <v>233</v>
      </c>
      <c r="BG6" s="153" t="s">
        <v>233</v>
      </c>
      <c r="BH6" s="153" t="s">
        <v>233</v>
      </c>
      <c r="BI6" s="153" t="s">
        <v>233</v>
      </c>
      <c r="BJ6" s="153" t="s">
        <v>233</v>
      </c>
      <c r="BK6" s="153" t="s">
        <v>233</v>
      </c>
    </row>
    <row r="7" spans="1:63" ht="18" customHeight="1" thickBot="1" x14ac:dyDescent="0.5">
      <c r="A7" s="108" t="s">
        <v>38</v>
      </c>
      <c r="B7" s="156" t="s">
        <v>289</v>
      </c>
      <c r="C7" s="153" t="s">
        <v>233</v>
      </c>
      <c r="D7" s="153" t="s">
        <v>233</v>
      </c>
      <c r="E7" s="153" t="s">
        <v>233</v>
      </c>
      <c r="F7" s="153" t="s">
        <v>233</v>
      </c>
      <c r="G7" s="153" t="s">
        <v>71</v>
      </c>
      <c r="H7" s="153" t="s">
        <v>233</v>
      </c>
      <c r="I7" s="153" t="s">
        <v>233</v>
      </c>
      <c r="J7" s="153" t="s">
        <v>233</v>
      </c>
      <c r="K7" s="153" t="s">
        <v>233</v>
      </c>
      <c r="L7" s="153" t="s">
        <v>233</v>
      </c>
      <c r="M7" s="153" t="s">
        <v>233</v>
      </c>
      <c r="N7" s="153" t="s">
        <v>233</v>
      </c>
      <c r="O7" s="153" t="s">
        <v>233</v>
      </c>
      <c r="P7" s="153" t="s">
        <v>233</v>
      </c>
      <c r="Q7" s="153" t="s">
        <v>233</v>
      </c>
      <c r="R7" s="153" t="s">
        <v>233</v>
      </c>
      <c r="S7" s="153" t="s">
        <v>233</v>
      </c>
      <c r="T7" s="153" t="s">
        <v>233</v>
      </c>
      <c r="U7" s="153" t="s">
        <v>233</v>
      </c>
      <c r="V7" s="153" t="s">
        <v>233</v>
      </c>
      <c r="W7" s="153" t="s">
        <v>233</v>
      </c>
      <c r="X7" s="153" t="s">
        <v>71</v>
      </c>
      <c r="Y7" s="153" t="s">
        <v>233</v>
      </c>
      <c r="Z7" s="153" t="s">
        <v>233</v>
      </c>
      <c r="AA7" s="153" t="s">
        <v>233</v>
      </c>
      <c r="AB7" s="153" t="s">
        <v>233</v>
      </c>
      <c r="AC7" s="153" t="s">
        <v>233</v>
      </c>
      <c r="AD7" s="153" t="s">
        <v>233</v>
      </c>
      <c r="AE7" s="153" t="s">
        <v>233</v>
      </c>
      <c r="AF7" s="153" t="s">
        <v>233</v>
      </c>
      <c r="AG7" s="153" t="s">
        <v>233</v>
      </c>
      <c r="AH7" s="153" t="s">
        <v>233</v>
      </c>
      <c r="AI7" s="153" t="s">
        <v>233</v>
      </c>
      <c r="AJ7" s="153" t="s">
        <v>233</v>
      </c>
      <c r="AK7" s="153" t="s">
        <v>233</v>
      </c>
      <c r="AL7" s="153" t="s">
        <v>233</v>
      </c>
      <c r="AM7" s="153" t="s">
        <v>233</v>
      </c>
      <c r="AN7" s="153" t="s">
        <v>233</v>
      </c>
      <c r="AO7" s="153" t="s">
        <v>71</v>
      </c>
      <c r="AP7" s="153" t="s">
        <v>233</v>
      </c>
      <c r="AQ7" s="153" t="s">
        <v>233</v>
      </c>
      <c r="AR7" s="153" t="s">
        <v>233</v>
      </c>
      <c r="AS7" s="153" t="s">
        <v>233</v>
      </c>
      <c r="AT7" s="153" t="s">
        <v>233</v>
      </c>
      <c r="AU7" s="153" t="s">
        <v>233</v>
      </c>
      <c r="AV7" s="153" t="s">
        <v>233</v>
      </c>
      <c r="AW7" s="153" t="s">
        <v>233</v>
      </c>
      <c r="AX7" s="153" t="s">
        <v>233</v>
      </c>
      <c r="AY7" s="153" t="s">
        <v>233</v>
      </c>
      <c r="AZ7" s="153" t="s">
        <v>233</v>
      </c>
      <c r="BA7" s="153" t="s">
        <v>233</v>
      </c>
      <c r="BB7" s="153" t="s">
        <v>233</v>
      </c>
      <c r="BC7" s="153" t="s">
        <v>233</v>
      </c>
      <c r="BD7" s="153" t="s">
        <v>233</v>
      </c>
      <c r="BE7" s="153" t="s">
        <v>233</v>
      </c>
      <c r="BF7" s="153" t="s">
        <v>233</v>
      </c>
      <c r="BG7" s="153" t="s">
        <v>233</v>
      </c>
      <c r="BH7" s="153" t="s">
        <v>233</v>
      </c>
      <c r="BI7" s="153" t="s">
        <v>233</v>
      </c>
      <c r="BJ7" s="153" t="s">
        <v>233</v>
      </c>
      <c r="BK7" s="153" t="s">
        <v>233</v>
      </c>
    </row>
    <row r="8" spans="1:63" ht="18" customHeight="1" thickBot="1" x14ac:dyDescent="0.5">
      <c r="A8" s="108" t="s">
        <v>38</v>
      </c>
      <c r="B8" s="156" t="s">
        <v>290</v>
      </c>
      <c r="C8" s="153" t="s">
        <v>233</v>
      </c>
      <c r="D8" s="153" t="s">
        <v>233</v>
      </c>
      <c r="E8" s="153" t="s">
        <v>233</v>
      </c>
      <c r="F8" s="153" t="s">
        <v>233</v>
      </c>
      <c r="G8" s="153" t="s">
        <v>233</v>
      </c>
      <c r="H8" s="153" t="s">
        <v>71</v>
      </c>
      <c r="I8" s="153" t="s">
        <v>233</v>
      </c>
      <c r="J8" s="153" t="s">
        <v>233</v>
      </c>
      <c r="K8" s="153" t="s">
        <v>233</v>
      </c>
      <c r="L8" s="153" t="s">
        <v>233</v>
      </c>
      <c r="M8" s="153" t="s">
        <v>233</v>
      </c>
      <c r="N8" s="153" t="s">
        <v>233</v>
      </c>
      <c r="O8" s="153" t="s">
        <v>233</v>
      </c>
      <c r="P8" s="153" t="s">
        <v>233</v>
      </c>
      <c r="Q8" s="153" t="s">
        <v>233</v>
      </c>
      <c r="R8" s="153" t="s">
        <v>233</v>
      </c>
      <c r="S8" s="153" t="s">
        <v>233</v>
      </c>
      <c r="T8" s="153" t="s">
        <v>233</v>
      </c>
      <c r="U8" s="153" t="s">
        <v>233</v>
      </c>
      <c r="V8" s="153" t="s">
        <v>233</v>
      </c>
      <c r="W8" s="153" t="s">
        <v>233</v>
      </c>
      <c r="X8" s="153" t="s">
        <v>233</v>
      </c>
      <c r="Y8" s="153" t="s">
        <v>71</v>
      </c>
      <c r="Z8" s="153" t="s">
        <v>233</v>
      </c>
      <c r="AA8" s="153" t="s">
        <v>233</v>
      </c>
      <c r="AB8" s="153" t="s">
        <v>233</v>
      </c>
      <c r="AC8" s="153" t="s">
        <v>233</v>
      </c>
      <c r="AD8" s="153" t="s">
        <v>233</v>
      </c>
      <c r="AE8" s="153" t="s">
        <v>233</v>
      </c>
      <c r="AF8" s="153" t="s">
        <v>233</v>
      </c>
      <c r="AG8" s="153" t="s">
        <v>233</v>
      </c>
      <c r="AH8" s="153" t="s">
        <v>233</v>
      </c>
      <c r="AI8" s="153" t="s">
        <v>233</v>
      </c>
      <c r="AJ8" s="153" t="s">
        <v>233</v>
      </c>
      <c r="AK8" s="153" t="s">
        <v>233</v>
      </c>
      <c r="AL8" s="153" t="s">
        <v>233</v>
      </c>
      <c r="AM8" s="153" t="s">
        <v>233</v>
      </c>
      <c r="AN8" s="153" t="s">
        <v>233</v>
      </c>
      <c r="AO8" s="153" t="s">
        <v>233</v>
      </c>
      <c r="AP8" s="153" t="s">
        <v>71</v>
      </c>
      <c r="AQ8" s="153" t="s">
        <v>233</v>
      </c>
      <c r="AR8" s="153" t="s">
        <v>233</v>
      </c>
      <c r="AS8" s="153" t="s">
        <v>233</v>
      </c>
      <c r="AT8" s="153" t="s">
        <v>233</v>
      </c>
      <c r="AU8" s="153" t="s">
        <v>233</v>
      </c>
      <c r="AV8" s="153" t="s">
        <v>233</v>
      </c>
      <c r="AW8" s="153" t="s">
        <v>233</v>
      </c>
      <c r="AX8" s="153" t="s">
        <v>233</v>
      </c>
      <c r="AY8" s="153" t="s">
        <v>233</v>
      </c>
      <c r="AZ8" s="153" t="s">
        <v>233</v>
      </c>
      <c r="BA8" s="153" t="s">
        <v>233</v>
      </c>
      <c r="BB8" s="153" t="s">
        <v>233</v>
      </c>
      <c r="BC8" s="154" t="s">
        <v>71</v>
      </c>
      <c r="BD8" s="153" t="s">
        <v>233</v>
      </c>
      <c r="BE8" s="153" t="s">
        <v>233</v>
      </c>
      <c r="BF8" s="153" t="s">
        <v>233</v>
      </c>
      <c r="BG8" s="153" t="s">
        <v>233</v>
      </c>
      <c r="BH8" s="154" t="s">
        <v>71</v>
      </c>
      <c r="BI8" s="153" t="s">
        <v>233</v>
      </c>
      <c r="BJ8" s="153" t="s">
        <v>233</v>
      </c>
      <c r="BK8" s="153" t="s">
        <v>233</v>
      </c>
    </row>
    <row r="9" spans="1:63" ht="18" customHeight="1" thickBot="1" x14ac:dyDescent="0.5">
      <c r="A9" s="108" t="s">
        <v>38</v>
      </c>
      <c r="B9" s="156" t="s">
        <v>291</v>
      </c>
      <c r="C9" s="153" t="s">
        <v>233</v>
      </c>
      <c r="D9" s="153" t="s">
        <v>233</v>
      </c>
      <c r="E9" s="153" t="s">
        <v>233</v>
      </c>
      <c r="F9" s="153" t="s">
        <v>233</v>
      </c>
      <c r="G9" s="153" t="s">
        <v>233</v>
      </c>
      <c r="H9" s="153" t="s">
        <v>233</v>
      </c>
      <c r="I9" s="153" t="s">
        <v>71</v>
      </c>
      <c r="J9" s="153" t="s">
        <v>233</v>
      </c>
      <c r="K9" s="153" t="s">
        <v>233</v>
      </c>
      <c r="L9" s="153" t="s">
        <v>233</v>
      </c>
      <c r="M9" s="153" t="s">
        <v>233</v>
      </c>
      <c r="N9" s="153" t="s">
        <v>233</v>
      </c>
      <c r="O9" s="153" t="s">
        <v>233</v>
      </c>
      <c r="P9" s="153" t="s">
        <v>233</v>
      </c>
      <c r="Q9" s="153" t="s">
        <v>233</v>
      </c>
      <c r="R9" s="153" t="s">
        <v>233</v>
      </c>
      <c r="S9" s="153" t="s">
        <v>233</v>
      </c>
      <c r="T9" s="153" t="s">
        <v>233</v>
      </c>
      <c r="U9" s="153" t="s">
        <v>233</v>
      </c>
      <c r="V9" s="153" t="s">
        <v>233</v>
      </c>
      <c r="W9" s="153" t="s">
        <v>233</v>
      </c>
      <c r="X9" s="153" t="s">
        <v>233</v>
      </c>
      <c r="Y9" s="153" t="s">
        <v>233</v>
      </c>
      <c r="Z9" s="153" t="s">
        <v>71</v>
      </c>
      <c r="AA9" s="153" t="s">
        <v>233</v>
      </c>
      <c r="AB9" s="153" t="s">
        <v>233</v>
      </c>
      <c r="AC9" s="153" t="s">
        <v>233</v>
      </c>
      <c r="AD9" s="153" t="s">
        <v>233</v>
      </c>
      <c r="AE9" s="153" t="s">
        <v>233</v>
      </c>
      <c r="AF9" s="153" t="s">
        <v>233</v>
      </c>
      <c r="AG9" s="153" t="s">
        <v>233</v>
      </c>
      <c r="AH9" s="153" t="s">
        <v>233</v>
      </c>
      <c r="AI9" s="153" t="s">
        <v>233</v>
      </c>
      <c r="AJ9" s="153" t="s">
        <v>233</v>
      </c>
      <c r="AK9" s="153" t="s">
        <v>233</v>
      </c>
      <c r="AL9" s="153" t="s">
        <v>233</v>
      </c>
      <c r="AM9" s="153" t="s">
        <v>233</v>
      </c>
      <c r="AN9" s="153" t="s">
        <v>233</v>
      </c>
      <c r="AO9" s="153" t="s">
        <v>233</v>
      </c>
      <c r="AP9" s="153" t="s">
        <v>233</v>
      </c>
      <c r="AQ9" s="153" t="s">
        <v>71</v>
      </c>
      <c r="AR9" s="153" t="s">
        <v>233</v>
      </c>
      <c r="AS9" s="153" t="s">
        <v>233</v>
      </c>
      <c r="AT9" s="153" t="s">
        <v>233</v>
      </c>
      <c r="AU9" s="153" t="s">
        <v>233</v>
      </c>
      <c r="AV9" s="153" t="s">
        <v>233</v>
      </c>
      <c r="AW9" s="153" t="s">
        <v>233</v>
      </c>
      <c r="AX9" s="153" t="s">
        <v>233</v>
      </c>
      <c r="AY9" s="153" t="s">
        <v>233</v>
      </c>
      <c r="AZ9" s="153" t="s">
        <v>233</v>
      </c>
      <c r="BA9" s="153" t="s">
        <v>233</v>
      </c>
      <c r="BB9" s="153" t="s">
        <v>233</v>
      </c>
      <c r="BC9" s="153" t="s">
        <v>233</v>
      </c>
      <c r="BD9" s="153" t="s">
        <v>233</v>
      </c>
      <c r="BE9" s="153" t="s">
        <v>233</v>
      </c>
      <c r="BF9" s="153" t="s">
        <v>233</v>
      </c>
      <c r="BG9" s="153" t="s">
        <v>233</v>
      </c>
      <c r="BH9" s="153" t="s">
        <v>233</v>
      </c>
      <c r="BI9" s="153" t="s">
        <v>233</v>
      </c>
      <c r="BJ9" s="153" t="s">
        <v>233</v>
      </c>
      <c r="BK9" s="153" t="s">
        <v>233</v>
      </c>
    </row>
    <row r="10" spans="1:63" ht="18" customHeight="1" thickBot="1" x14ac:dyDescent="0.5">
      <c r="A10" s="108" t="s">
        <v>38</v>
      </c>
      <c r="B10" s="156" t="s">
        <v>292</v>
      </c>
      <c r="C10" s="153" t="s">
        <v>233</v>
      </c>
      <c r="D10" s="153" t="s">
        <v>233</v>
      </c>
      <c r="E10" s="153" t="s">
        <v>233</v>
      </c>
      <c r="F10" s="153" t="s">
        <v>233</v>
      </c>
      <c r="G10" s="153" t="s">
        <v>233</v>
      </c>
      <c r="H10" s="153" t="s">
        <v>233</v>
      </c>
      <c r="I10" s="153" t="s">
        <v>233</v>
      </c>
      <c r="J10" s="153" t="s">
        <v>71</v>
      </c>
      <c r="K10" s="153" t="s">
        <v>233</v>
      </c>
      <c r="L10" s="153" t="s">
        <v>233</v>
      </c>
      <c r="M10" s="153" t="s">
        <v>233</v>
      </c>
      <c r="N10" s="153" t="s">
        <v>233</v>
      </c>
      <c r="O10" s="153" t="s">
        <v>233</v>
      </c>
      <c r="P10" s="153" t="s">
        <v>233</v>
      </c>
      <c r="Q10" s="153" t="s">
        <v>233</v>
      </c>
      <c r="R10" s="153" t="s">
        <v>233</v>
      </c>
      <c r="S10" s="153" t="s">
        <v>233</v>
      </c>
      <c r="T10" s="153" t="s">
        <v>233</v>
      </c>
      <c r="U10" s="153" t="s">
        <v>233</v>
      </c>
      <c r="V10" s="153" t="s">
        <v>233</v>
      </c>
      <c r="W10" s="153" t="s">
        <v>233</v>
      </c>
      <c r="X10" s="153" t="s">
        <v>233</v>
      </c>
      <c r="Y10" s="153" t="s">
        <v>233</v>
      </c>
      <c r="Z10" s="153" t="s">
        <v>233</v>
      </c>
      <c r="AA10" s="153" t="s">
        <v>71</v>
      </c>
      <c r="AB10" s="153" t="s">
        <v>233</v>
      </c>
      <c r="AC10" s="153" t="s">
        <v>233</v>
      </c>
      <c r="AD10" s="153" t="s">
        <v>233</v>
      </c>
      <c r="AE10" s="153" t="s">
        <v>233</v>
      </c>
      <c r="AF10" s="153" t="s">
        <v>233</v>
      </c>
      <c r="AG10" s="153" t="s">
        <v>233</v>
      </c>
      <c r="AH10" s="153" t="s">
        <v>233</v>
      </c>
      <c r="AI10" s="153" t="s">
        <v>233</v>
      </c>
      <c r="AJ10" s="153" t="s">
        <v>233</v>
      </c>
      <c r="AK10" s="153" t="s">
        <v>233</v>
      </c>
      <c r="AL10" s="153" t="s">
        <v>233</v>
      </c>
      <c r="AM10" s="153" t="s">
        <v>233</v>
      </c>
      <c r="AN10" s="153" t="s">
        <v>233</v>
      </c>
      <c r="AO10" s="153" t="s">
        <v>233</v>
      </c>
      <c r="AP10" s="153" t="s">
        <v>233</v>
      </c>
      <c r="AQ10" s="153" t="s">
        <v>233</v>
      </c>
      <c r="AR10" s="153" t="s">
        <v>71</v>
      </c>
      <c r="AS10" s="153" t="s">
        <v>233</v>
      </c>
      <c r="AT10" s="153" t="s">
        <v>233</v>
      </c>
      <c r="AU10" s="153" t="s">
        <v>233</v>
      </c>
      <c r="AV10" s="153" t="s">
        <v>233</v>
      </c>
      <c r="AW10" s="153" t="s">
        <v>233</v>
      </c>
      <c r="AX10" s="153" t="s">
        <v>233</v>
      </c>
      <c r="AY10" s="153" t="s">
        <v>233</v>
      </c>
      <c r="AZ10" s="153" t="s">
        <v>233</v>
      </c>
      <c r="BA10" s="153" t="s">
        <v>233</v>
      </c>
      <c r="BB10" s="153" t="s">
        <v>233</v>
      </c>
      <c r="BC10" s="153" t="s">
        <v>233</v>
      </c>
      <c r="BD10" s="153" t="s">
        <v>233</v>
      </c>
      <c r="BE10" s="153" t="s">
        <v>233</v>
      </c>
      <c r="BF10" s="153" t="s">
        <v>233</v>
      </c>
      <c r="BG10" s="153" t="s">
        <v>233</v>
      </c>
      <c r="BH10" s="153" t="s">
        <v>233</v>
      </c>
      <c r="BI10" s="153" t="s">
        <v>233</v>
      </c>
      <c r="BJ10" s="153" t="s">
        <v>233</v>
      </c>
      <c r="BK10" s="153" t="s">
        <v>233</v>
      </c>
    </row>
    <row r="11" spans="1:63" ht="18" customHeight="1" thickBot="1" x14ac:dyDescent="0.5">
      <c r="A11" s="108" t="s">
        <v>38</v>
      </c>
      <c r="B11" s="156" t="s">
        <v>293</v>
      </c>
      <c r="C11" s="153" t="s">
        <v>233</v>
      </c>
      <c r="D11" s="153" t="s">
        <v>233</v>
      </c>
      <c r="E11" s="153" t="s">
        <v>233</v>
      </c>
      <c r="F11" s="153" t="s">
        <v>233</v>
      </c>
      <c r="G11" s="153" t="s">
        <v>233</v>
      </c>
      <c r="H11" s="153" t="s">
        <v>233</v>
      </c>
      <c r="I11" s="153" t="s">
        <v>233</v>
      </c>
      <c r="J11" s="153" t="s">
        <v>233</v>
      </c>
      <c r="K11" s="153" t="s">
        <v>71</v>
      </c>
      <c r="L11" s="153" t="s">
        <v>233</v>
      </c>
      <c r="M11" s="153" t="s">
        <v>233</v>
      </c>
      <c r="N11" s="153" t="s">
        <v>233</v>
      </c>
      <c r="O11" s="153" t="s">
        <v>233</v>
      </c>
      <c r="P11" s="153" t="s">
        <v>233</v>
      </c>
      <c r="Q11" s="153" t="s">
        <v>233</v>
      </c>
      <c r="R11" s="153" t="s">
        <v>233</v>
      </c>
      <c r="S11" s="153" t="s">
        <v>233</v>
      </c>
      <c r="T11" s="153" t="s">
        <v>233</v>
      </c>
      <c r="U11" s="153" t="s">
        <v>233</v>
      </c>
      <c r="V11" s="153" t="s">
        <v>233</v>
      </c>
      <c r="W11" s="153" t="s">
        <v>233</v>
      </c>
      <c r="X11" s="153" t="s">
        <v>233</v>
      </c>
      <c r="Y11" s="153" t="s">
        <v>233</v>
      </c>
      <c r="Z11" s="153" t="s">
        <v>233</v>
      </c>
      <c r="AA11" s="153" t="s">
        <v>233</v>
      </c>
      <c r="AB11" s="153" t="s">
        <v>71</v>
      </c>
      <c r="AC11" s="153" t="s">
        <v>233</v>
      </c>
      <c r="AD11" s="153" t="s">
        <v>233</v>
      </c>
      <c r="AE11" s="153" t="s">
        <v>233</v>
      </c>
      <c r="AF11" s="153" t="s">
        <v>233</v>
      </c>
      <c r="AG11" s="153" t="s">
        <v>233</v>
      </c>
      <c r="AH11" s="153" t="s">
        <v>233</v>
      </c>
      <c r="AI11" s="153" t="s">
        <v>233</v>
      </c>
      <c r="AJ11" s="153" t="s">
        <v>233</v>
      </c>
      <c r="AK11" s="153" t="s">
        <v>233</v>
      </c>
      <c r="AL11" s="153" t="s">
        <v>233</v>
      </c>
      <c r="AM11" s="153" t="s">
        <v>233</v>
      </c>
      <c r="AN11" s="153" t="s">
        <v>233</v>
      </c>
      <c r="AO11" s="153" t="s">
        <v>233</v>
      </c>
      <c r="AP11" s="153" t="s">
        <v>233</v>
      </c>
      <c r="AQ11" s="153" t="s">
        <v>233</v>
      </c>
      <c r="AR11" s="153" t="s">
        <v>233</v>
      </c>
      <c r="AS11" s="153" t="s">
        <v>71</v>
      </c>
      <c r="AT11" s="153" t="s">
        <v>233</v>
      </c>
      <c r="AU11" s="153" t="s">
        <v>233</v>
      </c>
      <c r="AV11" s="153" t="s">
        <v>233</v>
      </c>
      <c r="AW11" s="153" t="s">
        <v>233</v>
      </c>
      <c r="AX11" s="153" t="s">
        <v>233</v>
      </c>
      <c r="AY11" s="153" t="s">
        <v>233</v>
      </c>
      <c r="AZ11" s="153" t="s">
        <v>233</v>
      </c>
      <c r="BA11" s="153" t="s">
        <v>233</v>
      </c>
      <c r="BB11" s="153" t="s">
        <v>233</v>
      </c>
      <c r="BC11" s="153" t="s">
        <v>233</v>
      </c>
      <c r="BD11" s="153" t="s">
        <v>233</v>
      </c>
      <c r="BE11" s="153" t="s">
        <v>233</v>
      </c>
      <c r="BF11" s="153" t="s">
        <v>233</v>
      </c>
      <c r="BG11" s="153" t="s">
        <v>233</v>
      </c>
      <c r="BH11" s="153" t="s">
        <v>233</v>
      </c>
      <c r="BI11" s="153" t="s">
        <v>233</v>
      </c>
      <c r="BJ11" s="153" t="s">
        <v>233</v>
      </c>
      <c r="BK11" s="153" t="s">
        <v>233</v>
      </c>
    </row>
    <row r="12" spans="1:63" ht="18" customHeight="1" thickBot="1" x14ac:dyDescent="0.5">
      <c r="A12" s="108" t="s">
        <v>38</v>
      </c>
      <c r="B12" s="156" t="s">
        <v>294</v>
      </c>
      <c r="C12" s="153" t="s">
        <v>233</v>
      </c>
      <c r="D12" s="153" t="s">
        <v>233</v>
      </c>
      <c r="E12" s="153" t="s">
        <v>233</v>
      </c>
      <c r="F12" s="153" t="s">
        <v>233</v>
      </c>
      <c r="G12" s="153" t="s">
        <v>233</v>
      </c>
      <c r="H12" s="153" t="s">
        <v>233</v>
      </c>
      <c r="I12" s="153" t="s">
        <v>233</v>
      </c>
      <c r="J12" s="153" t="s">
        <v>233</v>
      </c>
      <c r="K12" s="153" t="s">
        <v>233</v>
      </c>
      <c r="L12" s="153" t="s">
        <v>71</v>
      </c>
      <c r="M12" s="153" t="s">
        <v>233</v>
      </c>
      <c r="N12" s="153" t="s">
        <v>233</v>
      </c>
      <c r="O12" s="153" t="s">
        <v>233</v>
      </c>
      <c r="P12" s="153" t="s">
        <v>233</v>
      </c>
      <c r="Q12" s="153" t="s">
        <v>233</v>
      </c>
      <c r="R12" s="153" t="s">
        <v>233</v>
      </c>
      <c r="S12" s="153" t="s">
        <v>233</v>
      </c>
      <c r="T12" s="153" t="s">
        <v>233</v>
      </c>
      <c r="U12" s="153" t="s">
        <v>233</v>
      </c>
      <c r="V12" s="153" t="s">
        <v>233</v>
      </c>
      <c r="W12" s="153" t="s">
        <v>233</v>
      </c>
      <c r="X12" s="153" t="s">
        <v>233</v>
      </c>
      <c r="Y12" s="153" t="s">
        <v>233</v>
      </c>
      <c r="Z12" s="153" t="s">
        <v>233</v>
      </c>
      <c r="AA12" s="153" t="s">
        <v>233</v>
      </c>
      <c r="AB12" s="153" t="s">
        <v>233</v>
      </c>
      <c r="AC12" s="153" t="s">
        <v>71</v>
      </c>
      <c r="AD12" s="153" t="s">
        <v>233</v>
      </c>
      <c r="AE12" s="153" t="s">
        <v>233</v>
      </c>
      <c r="AF12" s="153" t="s">
        <v>233</v>
      </c>
      <c r="AG12" s="153" t="s">
        <v>233</v>
      </c>
      <c r="AH12" s="153" t="s">
        <v>233</v>
      </c>
      <c r="AI12" s="153" t="s">
        <v>233</v>
      </c>
      <c r="AJ12" s="153" t="s">
        <v>233</v>
      </c>
      <c r="AK12" s="153" t="s">
        <v>233</v>
      </c>
      <c r="AL12" s="153" t="s">
        <v>233</v>
      </c>
      <c r="AM12" s="153" t="s">
        <v>233</v>
      </c>
      <c r="AN12" s="153" t="s">
        <v>233</v>
      </c>
      <c r="AO12" s="153" t="s">
        <v>233</v>
      </c>
      <c r="AP12" s="153" t="s">
        <v>233</v>
      </c>
      <c r="AQ12" s="153" t="s">
        <v>233</v>
      </c>
      <c r="AR12" s="153" t="s">
        <v>233</v>
      </c>
      <c r="AS12" s="153" t="s">
        <v>233</v>
      </c>
      <c r="AT12" s="153" t="s">
        <v>71</v>
      </c>
      <c r="AU12" s="153" t="s">
        <v>233</v>
      </c>
      <c r="AV12" s="153" t="s">
        <v>233</v>
      </c>
      <c r="AW12" s="153" t="s">
        <v>233</v>
      </c>
      <c r="AX12" s="153" t="s">
        <v>233</v>
      </c>
      <c r="AY12" s="153" t="s">
        <v>233</v>
      </c>
      <c r="AZ12" s="153" t="s">
        <v>233</v>
      </c>
      <c r="BA12" s="153" t="s">
        <v>233</v>
      </c>
      <c r="BB12" s="153" t="s">
        <v>233</v>
      </c>
      <c r="BC12" s="153" t="s">
        <v>233</v>
      </c>
      <c r="BD12" s="153" t="s">
        <v>233</v>
      </c>
      <c r="BE12" s="153" t="s">
        <v>233</v>
      </c>
      <c r="BF12" s="153" t="s">
        <v>233</v>
      </c>
      <c r="BG12" s="153" t="s">
        <v>233</v>
      </c>
      <c r="BH12" s="153" t="s">
        <v>233</v>
      </c>
      <c r="BI12" s="153" t="s">
        <v>233</v>
      </c>
      <c r="BJ12" s="153" t="s">
        <v>233</v>
      </c>
      <c r="BK12" s="153" t="s">
        <v>233</v>
      </c>
    </row>
    <row r="13" spans="1:63" ht="18" customHeight="1" thickBot="1" x14ac:dyDescent="0.5">
      <c r="A13" s="108" t="s">
        <v>38</v>
      </c>
      <c r="B13" s="156" t="s">
        <v>274</v>
      </c>
      <c r="C13" s="153" t="s">
        <v>233</v>
      </c>
      <c r="D13" s="153" t="s">
        <v>233</v>
      </c>
      <c r="E13" s="153" t="s">
        <v>233</v>
      </c>
      <c r="F13" s="153" t="s">
        <v>233</v>
      </c>
      <c r="G13" s="153" t="s">
        <v>233</v>
      </c>
      <c r="H13" s="153" t="s">
        <v>233</v>
      </c>
      <c r="I13" s="153" t="s">
        <v>233</v>
      </c>
      <c r="J13" s="153" t="s">
        <v>233</v>
      </c>
      <c r="K13" s="153" t="s">
        <v>233</v>
      </c>
      <c r="L13" s="153" t="s">
        <v>233</v>
      </c>
      <c r="M13" s="153" t="s">
        <v>71</v>
      </c>
      <c r="N13" s="153" t="s">
        <v>233</v>
      </c>
      <c r="O13" s="153" t="s">
        <v>233</v>
      </c>
      <c r="P13" s="153" t="s">
        <v>233</v>
      </c>
      <c r="Q13" s="153" t="s">
        <v>233</v>
      </c>
      <c r="R13" s="153" t="s">
        <v>233</v>
      </c>
      <c r="S13" s="153" t="s">
        <v>233</v>
      </c>
      <c r="T13" s="153" t="s">
        <v>233</v>
      </c>
      <c r="U13" s="153" t="s">
        <v>233</v>
      </c>
      <c r="V13" s="153" t="s">
        <v>233</v>
      </c>
      <c r="W13" s="153" t="s">
        <v>233</v>
      </c>
      <c r="X13" s="153" t="s">
        <v>233</v>
      </c>
      <c r="Y13" s="153" t="s">
        <v>233</v>
      </c>
      <c r="Z13" s="153" t="s">
        <v>233</v>
      </c>
      <c r="AA13" s="153" t="s">
        <v>233</v>
      </c>
      <c r="AB13" s="153" t="s">
        <v>233</v>
      </c>
      <c r="AC13" s="153" t="s">
        <v>233</v>
      </c>
      <c r="AD13" s="153" t="s">
        <v>71</v>
      </c>
      <c r="AE13" s="153" t="s">
        <v>233</v>
      </c>
      <c r="AF13" s="153" t="s">
        <v>233</v>
      </c>
      <c r="AG13" s="153" t="s">
        <v>233</v>
      </c>
      <c r="AH13" s="153" t="s">
        <v>233</v>
      </c>
      <c r="AI13" s="153" t="s">
        <v>233</v>
      </c>
      <c r="AJ13" s="153" t="s">
        <v>233</v>
      </c>
      <c r="AK13" s="153" t="s">
        <v>233</v>
      </c>
      <c r="AL13" s="153" t="s">
        <v>233</v>
      </c>
      <c r="AM13" s="153" t="s">
        <v>233</v>
      </c>
      <c r="AN13" s="153" t="s">
        <v>233</v>
      </c>
      <c r="AO13" s="153" t="s">
        <v>233</v>
      </c>
      <c r="AP13" s="153" t="s">
        <v>233</v>
      </c>
      <c r="AQ13" s="153" t="s">
        <v>233</v>
      </c>
      <c r="AR13" s="153" t="s">
        <v>233</v>
      </c>
      <c r="AS13" s="153" t="s">
        <v>233</v>
      </c>
      <c r="AT13" s="153" t="s">
        <v>233</v>
      </c>
      <c r="AU13" s="153" t="s">
        <v>71</v>
      </c>
      <c r="AV13" s="153" t="s">
        <v>233</v>
      </c>
      <c r="AW13" s="153" t="s">
        <v>233</v>
      </c>
      <c r="AX13" s="153" t="s">
        <v>233</v>
      </c>
      <c r="AY13" s="153" t="s">
        <v>233</v>
      </c>
      <c r="AZ13" s="153" t="s">
        <v>233</v>
      </c>
      <c r="BA13" s="153" t="s">
        <v>233</v>
      </c>
      <c r="BB13" s="153" t="s">
        <v>233</v>
      </c>
      <c r="BC13" s="153" t="s">
        <v>233</v>
      </c>
      <c r="BD13" s="154" t="s">
        <v>71</v>
      </c>
      <c r="BE13" s="153" t="s">
        <v>233</v>
      </c>
      <c r="BF13" s="153" t="s">
        <v>233</v>
      </c>
      <c r="BG13" s="153" t="s">
        <v>233</v>
      </c>
      <c r="BH13" s="153" t="s">
        <v>233</v>
      </c>
      <c r="BI13" s="154" t="s">
        <v>71</v>
      </c>
      <c r="BJ13" s="153" t="s">
        <v>233</v>
      </c>
      <c r="BK13" s="153" t="s">
        <v>233</v>
      </c>
    </row>
    <row r="14" spans="1:63" ht="18" customHeight="1" thickBot="1" x14ac:dyDescent="0.5">
      <c r="A14" s="108" t="s">
        <v>38</v>
      </c>
      <c r="B14" s="156" t="s">
        <v>295</v>
      </c>
      <c r="C14" s="153" t="s">
        <v>233</v>
      </c>
      <c r="D14" s="153" t="s">
        <v>233</v>
      </c>
      <c r="E14" s="153" t="s">
        <v>233</v>
      </c>
      <c r="F14" s="153" t="s">
        <v>233</v>
      </c>
      <c r="G14" s="153" t="s">
        <v>233</v>
      </c>
      <c r="H14" s="153" t="s">
        <v>233</v>
      </c>
      <c r="I14" s="153" t="s">
        <v>233</v>
      </c>
      <c r="J14" s="153" t="s">
        <v>233</v>
      </c>
      <c r="K14" s="153" t="s">
        <v>233</v>
      </c>
      <c r="L14" s="153" t="s">
        <v>233</v>
      </c>
      <c r="M14" s="153" t="s">
        <v>233</v>
      </c>
      <c r="N14" s="153" t="s">
        <v>71</v>
      </c>
      <c r="O14" s="153" t="s">
        <v>233</v>
      </c>
      <c r="P14" s="153" t="s">
        <v>233</v>
      </c>
      <c r="Q14" s="153" t="s">
        <v>233</v>
      </c>
      <c r="R14" s="153" t="s">
        <v>233</v>
      </c>
      <c r="S14" s="153" t="s">
        <v>233</v>
      </c>
      <c r="T14" s="153" t="s">
        <v>233</v>
      </c>
      <c r="U14" s="153" t="s">
        <v>233</v>
      </c>
      <c r="V14" s="153" t="s">
        <v>233</v>
      </c>
      <c r="W14" s="153" t="s">
        <v>233</v>
      </c>
      <c r="X14" s="153" t="s">
        <v>233</v>
      </c>
      <c r="Y14" s="153" t="s">
        <v>233</v>
      </c>
      <c r="Z14" s="153" t="s">
        <v>233</v>
      </c>
      <c r="AA14" s="153" t="s">
        <v>233</v>
      </c>
      <c r="AB14" s="153" t="s">
        <v>233</v>
      </c>
      <c r="AC14" s="153" t="s">
        <v>233</v>
      </c>
      <c r="AD14" s="153" t="s">
        <v>233</v>
      </c>
      <c r="AE14" s="153" t="s">
        <v>71</v>
      </c>
      <c r="AF14" s="153" t="s">
        <v>233</v>
      </c>
      <c r="AG14" s="153" t="s">
        <v>233</v>
      </c>
      <c r="AH14" s="153" t="s">
        <v>233</v>
      </c>
      <c r="AI14" s="153" t="s">
        <v>233</v>
      </c>
      <c r="AJ14" s="153" t="s">
        <v>233</v>
      </c>
      <c r="AK14" s="153" t="s">
        <v>233</v>
      </c>
      <c r="AL14" s="153" t="s">
        <v>233</v>
      </c>
      <c r="AM14" s="153" t="s">
        <v>233</v>
      </c>
      <c r="AN14" s="153" t="s">
        <v>233</v>
      </c>
      <c r="AO14" s="153" t="s">
        <v>233</v>
      </c>
      <c r="AP14" s="153" t="s">
        <v>233</v>
      </c>
      <c r="AQ14" s="153" t="s">
        <v>233</v>
      </c>
      <c r="AR14" s="153" t="s">
        <v>233</v>
      </c>
      <c r="AS14" s="153" t="s">
        <v>233</v>
      </c>
      <c r="AT14" s="153" t="s">
        <v>233</v>
      </c>
      <c r="AU14" s="153" t="s">
        <v>233</v>
      </c>
      <c r="AV14" s="153" t="s">
        <v>71</v>
      </c>
      <c r="AW14" s="153" t="s">
        <v>233</v>
      </c>
      <c r="AX14" s="153" t="s">
        <v>233</v>
      </c>
      <c r="AY14" s="153" t="s">
        <v>233</v>
      </c>
      <c r="AZ14" s="153" t="s">
        <v>233</v>
      </c>
      <c r="BA14" s="153" t="s">
        <v>233</v>
      </c>
      <c r="BB14" s="153" t="s">
        <v>233</v>
      </c>
      <c r="BC14" s="153" t="s">
        <v>233</v>
      </c>
      <c r="BD14" s="153" t="s">
        <v>233</v>
      </c>
      <c r="BE14" s="154" t="s">
        <v>71</v>
      </c>
      <c r="BF14" s="153" t="s">
        <v>233</v>
      </c>
      <c r="BG14" s="153" t="s">
        <v>233</v>
      </c>
      <c r="BH14" s="153" t="s">
        <v>233</v>
      </c>
      <c r="BI14" s="153" t="s">
        <v>233</v>
      </c>
      <c r="BJ14" s="154" t="s">
        <v>71</v>
      </c>
      <c r="BK14" s="153" t="s">
        <v>233</v>
      </c>
    </row>
    <row r="15" spans="1:63" ht="18" customHeight="1" thickBot="1" x14ac:dyDescent="0.5">
      <c r="A15" s="108" t="s">
        <v>38</v>
      </c>
      <c r="B15" s="156" t="s">
        <v>296</v>
      </c>
      <c r="C15" s="153" t="s">
        <v>233</v>
      </c>
      <c r="D15" s="153" t="s">
        <v>233</v>
      </c>
      <c r="E15" s="153" t="s">
        <v>233</v>
      </c>
      <c r="F15" s="153" t="s">
        <v>233</v>
      </c>
      <c r="G15" s="153" t="s">
        <v>233</v>
      </c>
      <c r="H15" s="153" t="s">
        <v>233</v>
      </c>
      <c r="I15" s="153" t="s">
        <v>233</v>
      </c>
      <c r="J15" s="153" t="s">
        <v>233</v>
      </c>
      <c r="K15" s="153" t="s">
        <v>233</v>
      </c>
      <c r="L15" s="153" t="s">
        <v>233</v>
      </c>
      <c r="M15" s="153" t="s">
        <v>233</v>
      </c>
      <c r="N15" s="153" t="s">
        <v>233</v>
      </c>
      <c r="O15" s="153" t="s">
        <v>71</v>
      </c>
      <c r="P15" s="153" t="s">
        <v>233</v>
      </c>
      <c r="Q15" s="153" t="s">
        <v>233</v>
      </c>
      <c r="R15" s="153" t="s">
        <v>233</v>
      </c>
      <c r="S15" s="153" t="s">
        <v>233</v>
      </c>
      <c r="T15" s="153" t="s">
        <v>233</v>
      </c>
      <c r="U15" s="153" t="s">
        <v>233</v>
      </c>
      <c r="V15" s="153" t="s">
        <v>233</v>
      </c>
      <c r="W15" s="153" t="s">
        <v>233</v>
      </c>
      <c r="X15" s="153" t="s">
        <v>233</v>
      </c>
      <c r="Y15" s="153" t="s">
        <v>233</v>
      </c>
      <c r="Z15" s="153" t="s">
        <v>233</v>
      </c>
      <c r="AA15" s="153" t="s">
        <v>233</v>
      </c>
      <c r="AB15" s="153" t="s">
        <v>233</v>
      </c>
      <c r="AC15" s="153" t="s">
        <v>233</v>
      </c>
      <c r="AD15" s="153" t="s">
        <v>233</v>
      </c>
      <c r="AE15" s="153" t="s">
        <v>233</v>
      </c>
      <c r="AF15" s="153" t="s">
        <v>71</v>
      </c>
      <c r="AG15" s="153" t="s">
        <v>233</v>
      </c>
      <c r="AH15" s="153" t="s">
        <v>233</v>
      </c>
      <c r="AI15" s="153" t="s">
        <v>233</v>
      </c>
      <c r="AJ15" s="153" t="s">
        <v>233</v>
      </c>
      <c r="AK15" s="153" t="s">
        <v>233</v>
      </c>
      <c r="AL15" s="153" t="s">
        <v>233</v>
      </c>
      <c r="AM15" s="153" t="s">
        <v>233</v>
      </c>
      <c r="AN15" s="153" t="s">
        <v>233</v>
      </c>
      <c r="AO15" s="153" t="s">
        <v>233</v>
      </c>
      <c r="AP15" s="153" t="s">
        <v>233</v>
      </c>
      <c r="AQ15" s="153" t="s">
        <v>233</v>
      </c>
      <c r="AR15" s="153" t="s">
        <v>233</v>
      </c>
      <c r="AS15" s="153" t="s">
        <v>233</v>
      </c>
      <c r="AT15" s="153" t="s">
        <v>233</v>
      </c>
      <c r="AU15" s="153" t="s">
        <v>233</v>
      </c>
      <c r="AV15" s="153" t="s">
        <v>233</v>
      </c>
      <c r="AW15" s="153" t="s">
        <v>71</v>
      </c>
      <c r="AX15" s="153" t="s">
        <v>233</v>
      </c>
      <c r="AY15" s="153" t="s">
        <v>233</v>
      </c>
      <c r="AZ15" s="153" t="s">
        <v>233</v>
      </c>
      <c r="BA15" s="153" t="s">
        <v>233</v>
      </c>
      <c r="BB15" s="153" t="s">
        <v>233</v>
      </c>
      <c r="BC15" s="153" t="s">
        <v>233</v>
      </c>
      <c r="BD15" s="153" t="s">
        <v>233</v>
      </c>
      <c r="BE15" s="153" t="s">
        <v>233</v>
      </c>
      <c r="BF15" s="153" t="s">
        <v>233</v>
      </c>
      <c r="BG15" s="153" t="s">
        <v>233</v>
      </c>
      <c r="BH15" s="153" t="s">
        <v>233</v>
      </c>
      <c r="BI15" s="153" t="s">
        <v>233</v>
      </c>
      <c r="BJ15" s="153" t="s">
        <v>233</v>
      </c>
      <c r="BK15" s="153" t="s">
        <v>233</v>
      </c>
    </row>
    <row r="16" spans="1:63" ht="18" customHeight="1" thickBot="1" x14ac:dyDescent="0.5">
      <c r="A16" s="108" t="s">
        <v>38</v>
      </c>
      <c r="B16" s="156" t="s">
        <v>319</v>
      </c>
      <c r="C16" s="153" t="s">
        <v>233</v>
      </c>
      <c r="D16" s="153" t="s">
        <v>233</v>
      </c>
      <c r="E16" s="153" t="s">
        <v>233</v>
      </c>
      <c r="F16" s="153" t="s">
        <v>233</v>
      </c>
      <c r="G16" s="153" t="s">
        <v>233</v>
      </c>
      <c r="H16" s="153" t="s">
        <v>233</v>
      </c>
      <c r="I16" s="153" t="s">
        <v>233</v>
      </c>
      <c r="J16" s="153" t="s">
        <v>233</v>
      </c>
      <c r="K16" s="153" t="s">
        <v>233</v>
      </c>
      <c r="L16" s="153" t="s">
        <v>233</v>
      </c>
      <c r="M16" s="153" t="s">
        <v>233</v>
      </c>
      <c r="N16" s="153" t="s">
        <v>233</v>
      </c>
      <c r="O16" s="153" t="s">
        <v>233</v>
      </c>
      <c r="P16" s="153" t="s">
        <v>71</v>
      </c>
      <c r="Q16" s="153" t="s">
        <v>233</v>
      </c>
      <c r="R16" s="153" t="s">
        <v>233</v>
      </c>
      <c r="S16" s="153" t="s">
        <v>233</v>
      </c>
      <c r="T16" s="153" t="s">
        <v>233</v>
      </c>
      <c r="U16" s="153" t="s">
        <v>233</v>
      </c>
      <c r="V16" s="153" t="s">
        <v>233</v>
      </c>
      <c r="W16" s="153" t="s">
        <v>233</v>
      </c>
      <c r="X16" s="153" t="s">
        <v>233</v>
      </c>
      <c r="Y16" s="153" t="s">
        <v>233</v>
      </c>
      <c r="Z16" s="153" t="s">
        <v>233</v>
      </c>
      <c r="AA16" s="153" t="s">
        <v>233</v>
      </c>
      <c r="AB16" s="153" t="s">
        <v>233</v>
      </c>
      <c r="AC16" s="153" t="s">
        <v>233</v>
      </c>
      <c r="AD16" s="153" t="s">
        <v>233</v>
      </c>
      <c r="AE16" s="153" t="s">
        <v>233</v>
      </c>
      <c r="AF16" s="153" t="s">
        <v>233</v>
      </c>
      <c r="AG16" s="153" t="s">
        <v>71</v>
      </c>
      <c r="AH16" s="153" t="s">
        <v>233</v>
      </c>
      <c r="AI16" s="153" t="s">
        <v>233</v>
      </c>
      <c r="AJ16" s="153" t="s">
        <v>233</v>
      </c>
      <c r="AK16" s="153" t="s">
        <v>233</v>
      </c>
      <c r="AL16" s="153" t="s">
        <v>233</v>
      </c>
      <c r="AM16" s="153" t="s">
        <v>233</v>
      </c>
      <c r="AN16" s="153" t="s">
        <v>233</v>
      </c>
      <c r="AO16" s="153" t="s">
        <v>233</v>
      </c>
      <c r="AP16" s="153" t="s">
        <v>233</v>
      </c>
      <c r="AQ16" s="153" t="s">
        <v>233</v>
      </c>
      <c r="AR16" s="153" t="s">
        <v>233</v>
      </c>
      <c r="AS16" s="153" t="s">
        <v>233</v>
      </c>
      <c r="AT16" s="153" t="s">
        <v>233</v>
      </c>
      <c r="AU16" s="153" t="s">
        <v>233</v>
      </c>
      <c r="AV16" s="153" t="s">
        <v>233</v>
      </c>
      <c r="AW16" s="153" t="s">
        <v>233</v>
      </c>
      <c r="AX16" s="153" t="s">
        <v>71</v>
      </c>
      <c r="AY16" s="153" t="s">
        <v>233</v>
      </c>
      <c r="AZ16" s="153" t="s">
        <v>233</v>
      </c>
      <c r="BA16" s="153" t="s">
        <v>233</v>
      </c>
      <c r="BB16" s="153" t="s">
        <v>233</v>
      </c>
      <c r="BC16" s="153" t="s">
        <v>233</v>
      </c>
      <c r="BD16" s="153" t="s">
        <v>233</v>
      </c>
      <c r="BE16" s="153" t="s">
        <v>233</v>
      </c>
      <c r="BF16" s="154" t="s">
        <v>71</v>
      </c>
      <c r="BG16" s="153" t="s">
        <v>233</v>
      </c>
      <c r="BH16" s="153" t="s">
        <v>233</v>
      </c>
      <c r="BI16" s="153" t="s">
        <v>233</v>
      </c>
      <c r="BJ16" s="153" t="s">
        <v>233</v>
      </c>
      <c r="BK16" s="154" t="s">
        <v>71</v>
      </c>
    </row>
    <row r="17" spans="1:63" ht="18" customHeight="1" thickBot="1" x14ac:dyDescent="0.5">
      <c r="A17" s="108" t="s">
        <v>38</v>
      </c>
      <c r="B17" s="156" t="s">
        <v>230</v>
      </c>
      <c r="C17" s="153" t="s">
        <v>233</v>
      </c>
      <c r="D17" s="153" t="s">
        <v>233</v>
      </c>
      <c r="E17" s="153" t="s">
        <v>233</v>
      </c>
      <c r="F17" s="153" t="s">
        <v>233</v>
      </c>
      <c r="G17" s="153" t="s">
        <v>233</v>
      </c>
      <c r="H17" s="153" t="s">
        <v>233</v>
      </c>
      <c r="I17" s="153" t="s">
        <v>233</v>
      </c>
      <c r="J17" s="153" t="s">
        <v>233</v>
      </c>
      <c r="K17" s="153" t="s">
        <v>233</v>
      </c>
      <c r="L17" s="153" t="s">
        <v>233</v>
      </c>
      <c r="M17" s="153" t="s">
        <v>233</v>
      </c>
      <c r="N17" s="153" t="s">
        <v>233</v>
      </c>
      <c r="O17" s="153" t="s">
        <v>233</v>
      </c>
      <c r="P17" s="153" t="s">
        <v>233</v>
      </c>
      <c r="Q17" s="153" t="s">
        <v>71</v>
      </c>
      <c r="R17" s="153" t="s">
        <v>233</v>
      </c>
      <c r="S17" s="153" t="s">
        <v>233</v>
      </c>
      <c r="T17" s="153" t="s">
        <v>233</v>
      </c>
      <c r="U17" s="153" t="s">
        <v>233</v>
      </c>
      <c r="V17" s="153" t="s">
        <v>233</v>
      </c>
      <c r="W17" s="153" t="s">
        <v>233</v>
      </c>
      <c r="X17" s="153" t="s">
        <v>233</v>
      </c>
      <c r="Y17" s="153" t="s">
        <v>233</v>
      </c>
      <c r="Z17" s="153" t="s">
        <v>233</v>
      </c>
      <c r="AA17" s="153" t="s">
        <v>233</v>
      </c>
      <c r="AB17" s="153" t="s">
        <v>233</v>
      </c>
      <c r="AC17" s="153" t="s">
        <v>233</v>
      </c>
      <c r="AD17" s="153" t="s">
        <v>233</v>
      </c>
      <c r="AE17" s="153" t="s">
        <v>233</v>
      </c>
      <c r="AF17" s="153" t="s">
        <v>233</v>
      </c>
      <c r="AG17" s="153" t="s">
        <v>233</v>
      </c>
      <c r="AH17" s="153" t="s">
        <v>71</v>
      </c>
      <c r="AI17" s="153" t="s">
        <v>233</v>
      </c>
      <c r="AJ17" s="153" t="s">
        <v>233</v>
      </c>
      <c r="AK17" s="153" t="s">
        <v>233</v>
      </c>
      <c r="AL17" s="153" t="s">
        <v>233</v>
      </c>
      <c r="AM17" s="153" t="s">
        <v>233</v>
      </c>
      <c r="AN17" s="153" t="s">
        <v>233</v>
      </c>
      <c r="AO17" s="153" t="s">
        <v>233</v>
      </c>
      <c r="AP17" s="153" t="s">
        <v>233</v>
      </c>
      <c r="AQ17" s="153" t="s">
        <v>233</v>
      </c>
      <c r="AR17" s="153" t="s">
        <v>233</v>
      </c>
      <c r="AS17" s="153" t="s">
        <v>233</v>
      </c>
      <c r="AT17" s="153" t="s">
        <v>233</v>
      </c>
      <c r="AU17" s="153" t="s">
        <v>233</v>
      </c>
      <c r="AV17" s="153" t="s">
        <v>233</v>
      </c>
      <c r="AW17" s="153" t="s">
        <v>233</v>
      </c>
      <c r="AX17" s="153" t="s">
        <v>233</v>
      </c>
      <c r="AY17" s="153" t="s">
        <v>71</v>
      </c>
      <c r="AZ17" s="153" t="s">
        <v>233</v>
      </c>
      <c r="BA17" s="153" t="s">
        <v>233</v>
      </c>
      <c r="BB17" s="153" t="s">
        <v>233</v>
      </c>
      <c r="BC17" s="153" t="s">
        <v>233</v>
      </c>
      <c r="BD17" s="153" t="s">
        <v>233</v>
      </c>
      <c r="BE17" s="153" t="s">
        <v>233</v>
      </c>
      <c r="BF17" s="153" t="s">
        <v>233</v>
      </c>
      <c r="BG17" s="153" t="s">
        <v>233</v>
      </c>
      <c r="BH17" s="153" t="s">
        <v>233</v>
      </c>
      <c r="BI17" s="153" t="s">
        <v>233</v>
      </c>
      <c r="BJ17" s="153" t="s">
        <v>233</v>
      </c>
      <c r="BK17" s="153" t="s">
        <v>233</v>
      </c>
    </row>
    <row r="18" spans="1:63" ht="18" customHeight="1" thickBot="1" x14ac:dyDescent="0.5">
      <c r="A18" s="108" t="s">
        <v>38</v>
      </c>
      <c r="B18" s="156" t="s">
        <v>231</v>
      </c>
      <c r="C18" s="153" t="s">
        <v>233</v>
      </c>
      <c r="D18" s="153" t="s">
        <v>233</v>
      </c>
      <c r="E18" s="153" t="s">
        <v>233</v>
      </c>
      <c r="F18" s="153" t="s">
        <v>233</v>
      </c>
      <c r="G18" s="153" t="s">
        <v>233</v>
      </c>
      <c r="H18" s="153" t="s">
        <v>233</v>
      </c>
      <c r="I18" s="153" t="s">
        <v>233</v>
      </c>
      <c r="J18" s="153" t="s">
        <v>233</v>
      </c>
      <c r="K18" s="153" t="s">
        <v>233</v>
      </c>
      <c r="L18" s="153" t="s">
        <v>233</v>
      </c>
      <c r="M18" s="153" t="s">
        <v>233</v>
      </c>
      <c r="N18" s="153" t="s">
        <v>233</v>
      </c>
      <c r="O18" s="153" t="s">
        <v>233</v>
      </c>
      <c r="P18" s="153" t="s">
        <v>233</v>
      </c>
      <c r="Q18" s="153" t="s">
        <v>233</v>
      </c>
      <c r="R18" s="153" t="s">
        <v>71</v>
      </c>
      <c r="S18" s="153" t="s">
        <v>233</v>
      </c>
      <c r="T18" s="153" t="s">
        <v>233</v>
      </c>
      <c r="U18" s="153" t="s">
        <v>233</v>
      </c>
      <c r="V18" s="153" t="s">
        <v>233</v>
      </c>
      <c r="W18" s="153" t="s">
        <v>233</v>
      </c>
      <c r="X18" s="153" t="s">
        <v>233</v>
      </c>
      <c r="Y18" s="153" t="s">
        <v>233</v>
      </c>
      <c r="Z18" s="153" t="s">
        <v>233</v>
      </c>
      <c r="AA18" s="153" t="s">
        <v>233</v>
      </c>
      <c r="AB18" s="153" t="s">
        <v>233</v>
      </c>
      <c r="AC18" s="153" t="s">
        <v>233</v>
      </c>
      <c r="AD18" s="153" t="s">
        <v>233</v>
      </c>
      <c r="AE18" s="153" t="s">
        <v>233</v>
      </c>
      <c r="AF18" s="153" t="s">
        <v>233</v>
      </c>
      <c r="AG18" s="153" t="s">
        <v>233</v>
      </c>
      <c r="AH18" s="153" t="s">
        <v>233</v>
      </c>
      <c r="AI18" s="153" t="s">
        <v>71</v>
      </c>
      <c r="AJ18" s="153" t="s">
        <v>233</v>
      </c>
      <c r="AK18" s="153" t="s">
        <v>233</v>
      </c>
      <c r="AL18" s="153" t="s">
        <v>233</v>
      </c>
      <c r="AM18" s="153" t="s">
        <v>233</v>
      </c>
      <c r="AN18" s="153" t="s">
        <v>233</v>
      </c>
      <c r="AO18" s="153" t="s">
        <v>233</v>
      </c>
      <c r="AP18" s="153" t="s">
        <v>233</v>
      </c>
      <c r="AQ18" s="153" t="s">
        <v>233</v>
      </c>
      <c r="AR18" s="153" t="s">
        <v>233</v>
      </c>
      <c r="AS18" s="153" t="s">
        <v>233</v>
      </c>
      <c r="AT18" s="153" t="s">
        <v>233</v>
      </c>
      <c r="AU18" s="153" t="s">
        <v>233</v>
      </c>
      <c r="AV18" s="153" t="s">
        <v>233</v>
      </c>
      <c r="AW18" s="153" t="s">
        <v>233</v>
      </c>
      <c r="AX18" s="153" t="s">
        <v>233</v>
      </c>
      <c r="AY18" s="153" t="s">
        <v>233</v>
      </c>
      <c r="AZ18" s="153" t="s">
        <v>71</v>
      </c>
      <c r="BA18" s="153" t="s">
        <v>233</v>
      </c>
      <c r="BB18" s="153" t="s">
        <v>233</v>
      </c>
      <c r="BC18" s="153" t="s">
        <v>233</v>
      </c>
      <c r="BD18" s="153" t="s">
        <v>233</v>
      </c>
      <c r="BE18" s="153" t="s">
        <v>233</v>
      </c>
      <c r="BF18" s="153" t="s">
        <v>233</v>
      </c>
      <c r="BG18" s="153" t="s">
        <v>233</v>
      </c>
      <c r="BH18" s="153" t="s">
        <v>233</v>
      </c>
      <c r="BI18" s="153" t="s">
        <v>233</v>
      </c>
      <c r="BJ18" s="153" t="s">
        <v>233</v>
      </c>
      <c r="BK18" s="153" t="s">
        <v>233</v>
      </c>
    </row>
    <row r="19" spans="1:63" ht="18" customHeight="1" thickBot="1" x14ac:dyDescent="0.5">
      <c r="A19" s="108" t="s">
        <v>38</v>
      </c>
      <c r="B19" s="156" t="s">
        <v>234</v>
      </c>
      <c r="C19" s="154" t="s">
        <v>233</v>
      </c>
      <c r="D19" s="154" t="s">
        <v>233</v>
      </c>
      <c r="E19" s="154" t="s">
        <v>233</v>
      </c>
      <c r="F19" s="154" t="s">
        <v>233</v>
      </c>
      <c r="G19" s="154" t="s">
        <v>233</v>
      </c>
      <c r="H19" s="154" t="s">
        <v>233</v>
      </c>
      <c r="I19" s="154" t="s">
        <v>233</v>
      </c>
      <c r="J19" s="154" t="s">
        <v>233</v>
      </c>
      <c r="K19" s="154" t="s">
        <v>233</v>
      </c>
      <c r="L19" s="154" t="s">
        <v>233</v>
      </c>
      <c r="M19" s="154" t="s">
        <v>233</v>
      </c>
      <c r="N19" s="154" t="s">
        <v>233</v>
      </c>
      <c r="O19" s="154" t="s">
        <v>233</v>
      </c>
      <c r="P19" s="154" t="s">
        <v>233</v>
      </c>
      <c r="Q19" s="154" t="s">
        <v>233</v>
      </c>
      <c r="R19" s="154" t="s">
        <v>233</v>
      </c>
      <c r="S19" s="154" t="s">
        <v>71</v>
      </c>
      <c r="T19" s="154" t="s">
        <v>233</v>
      </c>
      <c r="U19" s="154" t="s">
        <v>233</v>
      </c>
      <c r="V19" s="154" t="s">
        <v>233</v>
      </c>
      <c r="W19" s="154" t="s">
        <v>233</v>
      </c>
      <c r="X19" s="154" t="s">
        <v>233</v>
      </c>
      <c r="Y19" s="154" t="s">
        <v>233</v>
      </c>
      <c r="Z19" s="154" t="s">
        <v>233</v>
      </c>
      <c r="AA19" s="154" t="s">
        <v>233</v>
      </c>
      <c r="AB19" s="154" t="s">
        <v>233</v>
      </c>
      <c r="AC19" s="154" t="s">
        <v>233</v>
      </c>
      <c r="AD19" s="154" t="s">
        <v>233</v>
      </c>
      <c r="AE19" s="154" t="s">
        <v>233</v>
      </c>
      <c r="AF19" s="154" t="s">
        <v>233</v>
      </c>
      <c r="AG19" s="154" t="s">
        <v>233</v>
      </c>
      <c r="AH19" s="154" t="s">
        <v>233</v>
      </c>
      <c r="AI19" s="154" t="s">
        <v>233</v>
      </c>
      <c r="AJ19" s="154" t="s">
        <v>71</v>
      </c>
      <c r="AK19" s="154" t="s">
        <v>233</v>
      </c>
      <c r="AL19" s="154" t="s">
        <v>233</v>
      </c>
      <c r="AM19" s="154" t="s">
        <v>233</v>
      </c>
      <c r="AN19" s="154" t="s">
        <v>233</v>
      </c>
      <c r="AO19" s="154" t="s">
        <v>233</v>
      </c>
      <c r="AP19" s="154" t="s">
        <v>233</v>
      </c>
      <c r="AQ19" s="154" t="s">
        <v>233</v>
      </c>
      <c r="AR19" s="154" t="s">
        <v>233</v>
      </c>
      <c r="AS19" s="154" t="s">
        <v>233</v>
      </c>
      <c r="AT19" s="154" t="s">
        <v>233</v>
      </c>
      <c r="AU19" s="154" t="s">
        <v>233</v>
      </c>
      <c r="AV19" s="154" t="s">
        <v>233</v>
      </c>
      <c r="AW19" s="154" t="s">
        <v>233</v>
      </c>
      <c r="AX19" s="154" t="s">
        <v>233</v>
      </c>
      <c r="AY19" s="154" t="s">
        <v>233</v>
      </c>
      <c r="AZ19" s="154" t="s">
        <v>233</v>
      </c>
      <c r="BA19" s="154" t="s">
        <v>71</v>
      </c>
      <c r="BB19" s="154" t="s">
        <v>233</v>
      </c>
      <c r="BC19" s="154" t="s">
        <v>233</v>
      </c>
      <c r="BD19" s="154" t="s">
        <v>233</v>
      </c>
      <c r="BE19" s="154" t="s">
        <v>233</v>
      </c>
      <c r="BF19" s="154" t="s">
        <v>233</v>
      </c>
      <c r="BG19" s="154" t="s">
        <v>233</v>
      </c>
      <c r="BH19" s="154" t="s">
        <v>233</v>
      </c>
      <c r="BI19" s="154" t="s">
        <v>233</v>
      </c>
      <c r="BJ19" s="154" t="s">
        <v>233</v>
      </c>
      <c r="BK19" s="154" t="s">
        <v>233</v>
      </c>
    </row>
    <row r="20" spans="1:63" s="67" customFormat="1" ht="18" customHeight="1" thickBot="1" x14ac:dyDescent="0.5">
      <c r="A20" s="66" t="s">
        <v>72</v>
      </c>
    </row>
    <row r="21" spans="1:63" ht="18" customHeight="1" x14ac:dyDescent="0.45">
      <c r="A21" s="69" t="s">
        <v>38</v>
      </c>
      <c r="B21" s="93"/>
    </row>
    <row r="22" spans="1:63" ht="18" customHeight="1" thickBot="1" x14ac:dyDescent="0.5">
      <c r="A22" s="109"/>
      <c r="B22" s="111"/>
    </row>
    <row r="23" spans="1:63" ht="18" customHeight="1" x14ac:dyDescent="0.45">
      <c r="A23" s="66"/>
    </row>
  </sheetData>
  <phoneticPr fontId="8" type="noConversion"/>
  <conditionalFormatting sqref="A22:B22">
    <cfRule type="containsText" dxfId="12" priority="43" operator="containsText" text="Disable">
      <formula>NOT(ISERROR(SEARCH("Disable",A22)))</formula>
    </cfRule>
    <cfRule type="containsText" dxfId="11" priority="44" operator="containsText" text="Enable">
      <formula>NOT(ISERROR(SEARCH("Enable",A22)))</formula>
    </cfRule>
  </conditionalFormatting>
  <conditionalFormatting sqref="B20">
    <cfRule type="duplicateValues" dxfId="10" priority="724"/>
  </conditionalFormatting>
  <conditionalFormatting sqref="B21">
    <cfRule type="duplicateValues" dxfId="9" priority="726"/>
  </conditionalFormatting>
  <conditionalFormatting sqref="C2:S2">
    <cfRule type="duplicateValues" dxfId="8" priority="14"/>
  </conditionalFormatting>
  <conditionalFormatting sqref="C3:BA340">
    <cfRule type="containsText" dxfId="7" priority="28" operator="containsText" text="Disable">
      <formula>NOT(ISERROR(SEARCH("Disable",C3)))</formula>
    </cfRule>
    <cfRule type="containsText" dxfId="6" priority="29" operator="containsText" text="Enable">
      <formula>NOT(ISERROR(SEARCH("Enable",C3)))</formula>
    </cfRule>
  </conditionalFormatting>
  <conditionalFormatting sqref="T2:AJ2">
    <cfRule type="duplicateValues" dxfId="5" priority="15"/>
  </conditionalFormatting>
  <conditionalFormatting sqref="AK2:BA2">
    <cfRule type="duplicateValues" dxfId="4" priority="13"/>
  </conditionalFormatting>
  <conditionalFormatting sqref="BB2:BF2">
    <cfRule type="duplicateValues" dxfId="3" priority="16"/>
  </conditionalFormatting>
  <conditionalFormatting sqref="BB3:BK19">
    <cfRule type="containsText" dxfId="2" priority="1" operator="containsText" text="Disable">
      <formula>NOT(ISERROR(SEARCH("Disable",BB3)))</formula>
    </cfRule>
    <cfRule type="containsText" dxfId="1" priority="2" operator="containsText" text="Enable">
      <formula>NOT(ISERROR(SEARCH("Enable",BB3)))</formula>
    </cfRule>
  </conditionalFormatting>
  <conditionalFormatting sqref="BG2:BK2">
    <cfRule type="duplicateValues" dxfId="0" priority="17"/>
  </conditionalFormatting>
  <pageMargins left="0.7" right="0.7" top="0.75" bottom="0.75" header="0.3" footer="0.3"/>
  <pageSetup paperSize="9" orientation="portrait" r:id="rId1"/>
  <headerFooter>
    <oddHeader>&amp;R&amp;"Arial Black"&amp;10&amp;K4099DA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26EB-0604-4EDA-A55F-AF3012DBD612}">
  <dimension ref="A1:B6"/>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8.73046875" defaultRowHeight="20.25" customHeight="1" x14ac:dyDescent="0.45"/>
  <cols>
    <col min="1" max="1" width="5.59765625" style="68" bestFit="1" customWidth="1"/>
    <col min="2" max="2" width="7.265625" style="68" bestFit="1" customWidth="1"/>
    <col min="3" max="16384" width="8.73046875" style="68"/>
  </cols>
  <sheetData>
    <row r="1" spans="1:2" ht="20.25" customHeight="1" thickBot="1" x14ac:dyDescent="0.5">
      <c r="A1" s="66" t="s">
        <v>42</v>
      </c>
      <c r="B1" s="67"/>
    </row>
    <row r="2" spans="1:2" ht="15" customHeight="1" thickBot="1" x14ac:dyDescent="0.5">
      <c r="A2" s="84" t="s">
        <v>41</v>
      </c>
      <c r="B2" s="110" t="s">
        <v>43</v>
      </c>
    </row>
    <row r="3" spans="1:2" ht="20.25" customHeight="1" x14ac:dyDescent="0.45">
      <c r="A3" s="69"/>
      <c r="B3" s="93"/>
    </row>
    <row r="4" spans="1:2" ht="20.25" customHeight="1" x14ac:dyDescent="0.45">
      <c r="A4" s="66"/>
      <c r="B4" s="67"/>
    </row>
    <row r="6" spans="1:2" ht="20.25" customHeight="1" x14ac:dyDescent="0.45">
      <c r="A6" s="71"/>
    </row>
  </sheetData>
  <pageMargins left="0.7" right="0.7" top="0.75" bottom="0.75" header="0.3" footer="0.3"/>
  <pageSetup paperSize="9" orientation="portrait" r:id="rId1"/>
  <headerFooter>
    <oddHeader>&amp;R&amp;"Arial Black"&amp;10&amp;K4099DA INTERNAL&amp;1#_x000D_</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527D-BCF6-43F6-8D9C-25EFF7471D30}">
  <dimension ref="A1:J39"/>
  <sheetViews>
    <sheetView zoomScaleNormal="100" workbookViewId="0">
      <selection activeCell="J10" sqref="J10"/>
    </sheetView>
  </sheetViews>
  <sheetFormatPr defaultColWidth="8.73046875" defaultRowHeight="15" customHeight="1" x14ac:dyDescent="0.45"/>
  <cols>
    <col min="1" max="1" width="16.73046875" style="68" customWidth="1"/>
    <col min="2" max="16384" width="8.73046875" style="68"/>
  </cols>
  <sheetData>
    <row r="1" spans="1:10" ht="15" customHeight="1" thickBot="1" x14ac:dyDescent="0.5">
      <c r="A1" s="185" t="s">
        <v>50</v>
      </c>
      <c r="B1" s="78" t="s">
        <v>131</v>
      </c>
      <c r="C1" s="78" t="s">
        <v>132</v>
      </c>
      <c r="D1" s="78" t="s">
        <v>192</v>
      </c>
      <c r="E1" s="78" t="s">
        <v>193</v>
      </c>
      <c r="F1" s="78" t="s">
        <v>194</v>
      </c>
      <c r="G1" s="78" t="s">
        <v>195</v>
      </c>
      <c r="H1" s="79" t="s">
        <v>139</v>
      </c>
    </row>
    <row r="2" spans="1:10" ht="15" customHeight="1" x14ac:dyDescent="0.45">
      <c r="A2" s="179" t="s">
        <v>177</v>
      </c>
      <c r="B2" s="180">
        <v>161</v>
      </c>
      <c r="C2" s="73">
        <v>170</v>
      </c>
      <c r="D2" s="73">
        <v>325</v>
      </c>
      <c r="E2" s="73">
        <v>325</v>
      </c>
      <c r="F2" s="73">
        <v>600</v>
      </c>
      <c r="G2" s="73">
        <v>600</v>
      </c>
      <c r="H2" s="74">
        <v>750</v>
      </c>
      <c r="I2" s="159"/>
    </row>
    <row r="3" spans="1:10" ht="15" customHeight="1" x14ac:dyDescent="0.45">
      <c r="A3" s="181" t="s">
        <v>214</v>
      </c>
      <c r="B3" s="182">
        <v>161</v>
      </c>
      <c r="C3" s="72">
        <v>170</v>
      </c>
      <c r="D3" s="72">
        <v>325</v>
      </c>
      <c r="E3" s="72">
        <v>325</v>
      </c>
      <c r="F3" s="72">
        <v>600</v>
      </c>
      <c r="G3" s="72">
        <v>600</v>
      </c>
      <c r="H3" s="75">
        <v>750</v>
      </c>
    </row>
    <row r="4" spans="1:10" ht="15" customHeight="1" x14ac:dyDescent="0.45">
      <c r="A4" s="181" t="s">
        <v>275</v>
      </c>
      <c r="B4" s="182">
        <v>161</v>
      </c>
      <c r="C4" s="72">
        <v>170</v>
      </c>
      <c r="D4" s="72">
        <v>325</v>
      </c>
      <c r="E4" s="72">
        <v>325</v>
      </c>
      <c r="F4" s="72">
        <v>600</v>
      </c>
      <c r="G4" s="72">
        <v>600</v>
      </c>
      <c r="H4" s="75">
        <v>750</v>
      </c>
    </row>
    <row r="5" spans="1:10" ht="15" customHeight="1" x14ac:dyDescent="0.45">
      <c r="A5" s="181" t="s">
        <v>178</v>
      </c>
      <c r="B5" s="182">
        <v>161</v>
      </c>
      <c r="C5" s="72">
        <v>170</v>
      </c>
      <c r="D5" s="72">
        <v>325</v>
      </c>
      <c r="E5" s="72">
        <v>325</v>
      </c>
      <c r="F5" s="72">
        <v>600</v>
      </c>
      <c r="G5" s="72">
        <v>600</v>
      </c>
      <c r="H5" s="75">
        <v>750</v>
      </c>
    </row>
    <row r="6" spans="1:10" ht="15" customHeight="1" thickBot="1" x14ac:dyDescent="0.5">
      <c r="A6" s="183" t="s">
        <v>179</v>
      </c>
      <c r="B6" s="184">
        <v>161</v>
      </c>
      <c r="C6" s="76">
        <v>170</v>
      </c>
      <c r="D6" s="76">
        <v>325</v>
      </c>
      <c r="E6" s="76">
        <v>325</v>
      </c>
      <c r="F6" s="76">
        <v>600</v>
      </c>
      <c r="G6" s="76">
        <v>600</v>
      </c>
      <c r="H6" s="77">
        <v>750</v>
      </c>
    </row>
    <row r="7" spans="1:10" ht="15" customHeight="1" x14ac:dyDescent="0.45">
      <c r="A7" s="173" t="s">
        <v>196</v>
      </c>
      <c r="B7" s="174">
        <v>22.8</v>
      </c>
      <c r="C7" s="73">
        <v>24</v>
      </c>
      <c r="D7" s="73">
        <v>50</v>
      </c>
      <c r="E7" s="73">
        <v>50</v>
      </c>
      <c r="F7" s="80">
        <v>116</v>
      </c>
      <c r="G7" s="80">
        <v>116</v>
      </c>
      <c r="H7" s="74">
        <v>145</v>
      </c>
      <c r="I7" s="159"/>
    </row>
    <row r="8" spans="1:10" ht="15" customHeight="1" x14ac:dyDescent="0.45">
      <c r="A8" s="175" t="s">
        <v>197</v>
      </c>
      <c r="B8" s="176">
        <v>22.8</v>
      </c>
      <c r="C8" s="72">
        <v>24</v>
      </c>
      <c r="D8" s="72">
        <v>50</v>
      </c>
      <c r="E8" s="72">
        <v>50</v>
      </c>
      <c r="F8" s="81">
        <v>116</v>
      </c>
      <c r="G8" s="81">
        <v>116</v>
      </c>
      <c r="H8" s="75">
        <v>145</v>
      </c>
    </row>
    <row r="9" spans="1:10" ht="15" customHeight="1" x14ac:dyDescent="0.45">
      <c r="A9" s="175" t="s">
        <v>198</v>
      </c>
      <c r="B9" s="176">
        <v>22.8</v>
      </c>
      <c r="C9" s="72">
        <v>24</v>
      </c>
      <c r="D9" s="72">
        <v>50</v>
      </c>
      <c r="E9" s="72">
        <v>50</v>
      </c>
      <c r="F9" s="81">
        <v>116</v>
      </c>
      <c r="G9" s="81">
        <v>116</v>
      </c>
      <c r="H9" s="75">
        <v>145</v>
      </c>
    </row>
    <row r="10" spans="1:10" ht="15" customHeight="1" thickBot="1" x14ac:dyDescent="0.5">
      <c r="A10" s="177" t="s">
        <v>199</v>
      </c>
      <c r="B10" s="178">
        <v>22.8</v>
      </c>
      <c r="C10" s="76">
        <v>24</v>
      </c>
      <c r="D10" s="76">
        <v>50</v>
      </c>
      <c r="E10" s="76">
        <v>50</v>
      </c>
      <c r="F10" s="82">
        <v>116</v>
      </c>
      <c r="G10" s="82">
        <v>116</v>
      </c>
      <c r="H10" s="77">
        <v>145</v>
      </c>
    </row>
    <row r="11" spans="1:10" ht="15" customHeight="1" x14ac:dyDescent="0.45">
      <c r="A11" s="167" t="s">
        <v>200</v>
      </c>
      <c r="B11" s="168">
        <v>230</v>
      </c>
      <c r="C11" s="73">
        <v>245</v>
      </c>
      <c r="D11" s="73">
        <v>460</v>
      </c>
      <c r="E11" s="73">
        <v>460</v>
      </c>
      <c r="F11" s="73">
        <v>840</v>
      </c>
      <c r="G11" s="73">
        <v>840</v>
      </c>
      <c r="H11" s="74">
        <v>1050</v>
      </c>
      <c r="I11" s="159"/>
      <c r="J11" s="160"/>
    </row>
    <row r="12" spans="1:10" ht="15" customHeight="1" x14ac:dyDescent="0.45">
      <c r="A12" s="169" t="s">
        <v>201</v>
      </c>
      <c r="B12" s="170">
        <v>230</v>
      </c>
      <c r="C12" s="72">
        <v>245</v>
      </c>
      <c r="D12" s="72">
        <v>460</v>
      </c>
      <c r="E12" s="72">
        <v>460</v>
      </c>
      <c r="F12" s="72">
        <v>840</v>
      </c>
      <c r="G12" s="72">
        <v>840</v>
      </c>
      <c r="H12" s="75">
        <v>1050</v>
      </c>
    </row>
    <row r="13" spans="1:10" ht="15" customHeight="1" x14ac:dyDescent="0.45">
      <c r="A13" s="169" t="s">
        <v>176</v>
      </c>
      <c r="B13" s="170">
        <v>230</v>
      </c>
      <c r="C13" s="72">
        <v>245</v>
      </c>
      <c r="D13" s="72">
        <v>460</v>
      </c>
      <c r="E13" s="72">
        <v>460</v>
      </c>
      <c r="F13" s="72">
        <v>840</v>
      </c>
      <c r="G13" s="72">
        <v>840</v>
      </c>
      <c r="H13" s="75">
        <v>1050</v>
      </c>
    </row>
    <row r="14" spans="1:10" ht="15" customHeight="1" x14ac:dyDescent="0.45">
      <c r="A14" s="169" t="s">
        <v>180</v>
      </c>
      <c r="B14" s="170">
        <v>230</v>
      </c>
      <c r="C14" s="72">
        <v>245</v>
      </c>
      <c r="D14" s="72">
        <v>460</v>
      </c>
      <c r="E14" s="72">
        <v>460</v>
      </c>
      <c r="F14" s="72">
        <v>840</v>
      </c>
      <c r="G14" s="72">
        <v>840</v>
      </c>
      <c r="H14" s="75">
        <v>1050</v>
      </c>
    </row>
    <row r="15" spans="1:10" ht="15" customHeight="1" x14ac:dyDescent="0.45">
      <c r="A15" s="169" t="s">
        <v>183</v>
      </c>
      <c r="B15" s="170">
        <v>230</v>
      </c>
      <c r="C15" s="72">
        <v>245</v>
      </c>
      <c r="D15" s="72">
        <v>460</v>
      </c>
      <c r="E15" s="72">
        <v>460</v>
      </c>
      <c r="F15" s="72">
        <v>840</v>
      </c>
      <c r="G15" s="72">
        <v>840</v>
      </c>
      <c r="H15" s="75">
        <v>1050</v>
      </c>
    </row>
    <row r="16" spans="1:10" ht="15" customHeight="1" x14ac:dyDescent="0.45">
      <c r="A16" s="169" t="s">
        <v>184</v>
      </c>
      <c r="B16" s="170">
        <v>230</v>
      </c>
      <c r="C16" s="72">
        <v>245</v>
      </c>
      <c r="D16" s="72">
        <v>460</v>
      </c>
      <c r="E16" s="72">
        <v>460</v>
      </c>
      <c r="F16" s="72">
        <v>840</v>
      </c>
      <c r="G16" s="72">
        <v>840</v>
      </c>
      <c r="H16" s="75">
        <v>1050</v>
      </c>
    </row>
    <row r="17" spans="1:10" ht="15" customHeight="1" x14ac:dyDescent="0.45">
      <c r="A17" s="169" t="s">
        <v>181</v>
      </c>
      <c r="B17" s="170">
        <v>230</v>
      </c>
      <c r="C17" s="72">
        <v>245</v>
      </c>
      <c r="D17" s="72">
        <v>460</v>
      </c>
      <c r="E17" s="72">
        <v>460</v>
      </c>
      <c r="F17" s="72">
        <v>840</v>
      </c>
      <c r="G17" s="72">
        <v>840</v>
      </c>
      <c r="H17" s="75">
        <v>1050</v>
      </c>
    </row>
    <row r="18" spans="1:10" ht="15" customHeight="1" x14ac:dyDescent="0.45">
      <c r="A18" s="169" t="s">
        <v>182</v>
      </c>
      <c r="B18" s="170">
        <v>230</v>
      </c>
      <c r="C18" s="72">
        <v>245</v>
      </c>
      <c r="D18" s="72">
        <v>460</v>
      </c>
      <c r="E18" s="72">
        <v>460</v>
      </c>
      <c r="F18" s="72">
        <v>840</v>
      </c>
      <c r="G18" s="72">
        <v>840</v>
      </c>
      <c r="H18" s="75">
        <v>1050</v>
      </c>
    </row>
    <row r="19" spans="1:10" ht="15" customHeight="1" x14ac:dyDescent="0.45">
      <c r="A19" s="169" t="s">
        <v>277</v>
      </c>
      <c r="B19" s="170">
        <v>230</v>
      </c>
      <c r="C19" s="72">
        <v>245</v>
      </c>
      <c r="D19" s="72">
        <v>460</v>
      </c>
      <c r="E19" s="72">
        <v>460</v>
      </c>
      <c r="F19" s="72">
        <v>840</v>
      </c>
      <c r="G19" s="72">
        <v>840</v>
      </c>
      <c r="H19" s="75">
        <v>1050</v>
      </c>
    </row>
    <row r="20" spans="1:10" ht="15" customHeight="1" x14ac:dyDescent="0.45">
      <c r="A20" s="169" t="s">
        <v>278</v>
      </c>
      <c r="B20" s="170">
        <v>230</v>
      </c>
      <c r="C20" s="72">
        <v>245</v>
      </c>
      <c r="D20" s="72">
        <v>460</v>
      </c>
      <c r="E20" s="72">
        <v>460</v>
      </c>
      <c r="F20" s="72">
        <v>840</v>
      </c>
      <c r="G20" s="72">
        <v>840</v>
      </c>
      <c r="H20" s="75">
        <v>1050</v>
      </c>
    </row>
    <row r="21" spans="1:10" ht="15" customHeight="1" x14ac:dyDescent="0.45">
      <c r="A21" s="169" t="s">
        <v>140</v>
      </c>
      <c r="B21" s="170">
        <v>230</v>
      </c>
      <c r="C21" s="72">
        <v>245</v>
      </c>
      <c r="D21" s="72">
        <v>460</v>
      </c>
      <c r="E21" s="72">
        <v>460</v>
      </c>
      <c r="F21" s="72">
        <v>840</v>
      </c>
      <c r="G21" s="72">
        <v>840</v>
      </c>
      <c r="H21" s="75">
        <v>1050</v>
      </c>
    </row>
    <row r="22" spans="1:10" ht="15" customHeight="1" x14ac:dyDescent="0.45">
      <c r="A22" s="169" t="s">
        <v>185</v>
      </c>
      <c r="B22" s="170">
        <v>230</v>
      </c>
      <c r="C22" s="72">
        <v>245</v>
      </c>
      <c r="D22" s="72">
        <v>460</v>
      </c>
      <c r="E22" s="72">
        <v>460</v>
      </c>
      <c r="F22" s="72">
        <v>840</v>
      </c>
      <c r="G22" s="72">
        <v>840</v>
      </c>
      <c r="H22" s="75">
        <v>1050</v>
      </c>
    </row>
    <row r="23" spans="1:10" ht="15" customHeight="1" x14ac:dyDescent="0.45">
      <c r="A23" s="169" t="s">
        <v>186</v>
      </c>
      <c r="B23" s="170">
        <v>230</v>
      </c>
      <c r="C23" s="72">
        <v>245</v>
      </c>
      <c r="D23" s="72">
        <v>460</v>
      </c>
      <c r="E23" s="72">
        <v>460</v>
      </c>
      <c r="F23" s="72">
        <v>840</v>
      </c>
      <c r="G23" s="72">
        <v>840</v>
      </c>
      <c r="H23" s="75">
        <v>1050</v>
      </c>
    </row>
    <row r="24" spans="1:10" ht="15" customHeight="1" thickBot="1" x14ac:dyDescent="0.5">
      <c r="A24" s="171" t="s">
        <v>187</v>
      </c>
      <c r="B24" s="172">
        <v>230</v>
      </c>
      <c r="C24" s="76">
        <v>245</v>
      </c>
      <c r="D24" s="76">
        <v>460</v>
      </c>
      <c r="E24" s="76">
        <v>460</v>
      </c>
      <c r="F24" s="76">
        <v>840</v>
      </c>
      <c r="G24" s="76">
        <v>840</v>
      </c>
      <c r="H24" s="77">
        <v>1050</v>
      </c>
    </row>
    <row r="25" spans="1:10" ht="15" customHeight="1" x14ac:dyDescent="0.45">
      <c r="A25" s="161" t="s">
        <v>202</v>
      </c>
      <c r="B25" s="162">
        <v>66</v>
      </c>
      <c r="C25" s="73">
        <v>72.5</v>
      </c>
      <c r="D25" s="73">
        <v>140</v>
      </c>
      <c r="E25" s="73">
        <v>140</v>
      </c>
      <c r="F25" s="80">
        <v>260</v>
      </c>
      <c r="G25" s="80">
        <v>260</v>
      </c>
      <c r="H25" s="74">
        <v>325</v>
      </c>
      <c r="I25" s="159"/>
      <c r="J25" s="160"/>
    </row>
    <row r="26" spans="1:10" ht="15" customHeight="1" x14ac:dyDescent="0.45">
      <c r="A26" s="163" t="s">
        <v>203</v>
      </c>
      <c r="B26" s="164">
        <v>66</v>
      </c>
      <c r="C26" s="72">
        <v>72.5</v>
      </c>
      <c r="D26" s="72">
        <v>140</v>
      </c>
      <c r="E26" s="72">
        <v>140</v>
      </c>
      <c r="F26" s="81">
        <v>260</v>
      </c>
      <c r="G26" s="81">
        <v>260</v>
      </c>
      <c r="H26" s="75">
        <v>325</v>
      </c>
    </row>
    <row r="27" spans="1:10" ht="15" customHeight="1" x14ac:dyDescent="0.45">
      <c r="A27" s="163" t="s">
        <v>279</v>
      </c>
      <c r="B27" s="164">
        <v>66</v>
      </c>
      <c r="C27" s="72">
        <v>72.5</v>
      </c>
      <c r="D27" s="72">
        <v>140</v>
      </c>
      <c r="E27" s="72">
        <v>140</v>
      </c>
      <c r="F27" s="81">
        <v>260</v>
      </c>
      <c r="G27" s="81">
        <v>260</v>
      </c>
      <c r="H27" s="75">
        <v>325</v>
      </c>
    </row>
    <row r="28" spans="1:10" ht="15" customHeight="1" x14ac:dyDescent="0.45">
      <c r="A28" s="163" t="s">
        <v>280</v>
      </c>
      <c r="B28" s="164">
        <v>66</v>
      </c>
      <c r="C28" s="72">
        <v>72.5</v>
      </c>
      <c r="D28" s="72">
        <v>140</v>
      </c>
      <c r="E28" s="72">
        <v>140</v>
      </c>
      <c r="F28" s="81">
        <v>260</v>
      </c>
      <c r="G28" s="81">
        <v>260</v>
      </c>
      <c r="H28" s="75">
        <v>325</v>
      </c>
    </row>
    <row r="29" spans="1:10" ht="15" customHeight="1" x14ac:dyDescent="0.45">
      <c r="A29" s="163" t="s">
        <v>235</v>
      </c>
      <c r="B29" s="164">
        <v>66</v>
      </c>
      <c r="C29" s="72">
        <v>72.5</v>
      </c>
      <c r="D29" s="72">
        <v>140</v>
      </c>
      <c r="E29" s="72">
        <v>140</v>
      </c>
      <c r="F29" s="81">
        <v>260</v>
      </c>
      <c r="G29" s="81">
        <v>260</v>
      </c>
      <c r="H29" s="75">
        <v>325</v>
      </c>
    </row>
    <row r="30" spans="1:10" ht="15" customHeight="1" x14ac:dyDescent="0.45">
      <c r="A30" s="163" t="s">
        <v>236</v>
      </c>
      <c r="B30" s="164">
        <v>66</v>
      </c>
      <c r="C30" s="72">
        <v>72.5</v>
      </c>
      <c r="D30" s="72">
        <v>140</v>
      </c>
      <c r="E30" s="72">
        <v>140</v>
      </c>
      <c r="F30" s="81">
        <v>260</v>
      </c>
      <c r="G30" s="81">
        <v>260</v>
      </c>
      <c r="H30" s="75">
        <v>325</v>
      </c>
    </row>
    <row r="31" spans="1:10" ht="15" customHeight="1" x14ac:dyDescent="0.45">
      <c r="A31" s="163" t="s">
        <v>237</v>
      </c>
      <c r="B31" s="164">
        <v>66</v>
      </c>
      <c r="C31" s="72">
        <v>72.5</v>
      </c>
      <c r="D31" s="72">
        <v>140</v>
      </c>
      <c r="E31" s="72">
        <v>140</v>
      </c>
      <c r="F31" s="81">
        <v>260</v>
      </c>
      <c r="G31" s="81">
        <v>260</v>
      </c>
      <c r="H31" s="75">
        <v>325</v>
      </c>
    </row>
    <row r="32" spans="1:10" ht="15" customHeight="1" x14ac:dyDescent="0.45">
      <c r="A32" s="163" t="s">
        <v>238</v>
      </c>
      <c r="B32" s="164">
        <v>66</v>
      </c>
      <c r="C32" s="72">
        <v>72.5</v>
      </c>
      <c r="D32" s="72">
        <v>140</v>
      </c>
      <c r="E32" s="72">
        <v>140</v>
      </c>
      <c r="F32" s="81">
        <v>260</v>
      </c>
      <c r="G32" s="81">
        <v>260</v>
      </c>
      <c r="H32" s="75">
        <v>325</v>
      </c>
    </row>
    <row r="33" spans="1:8" ht="15" customHeight="1" x14ac:dyDescent="0.45">
      <c r="A33" s="163" t="s">
        <v>239</v>
      </c>
      <c r="B33" s="164">
        <v>66</v>
      </c>
      <c r="C33" s="72">
        <v>72.5</v>
      </c>
      <c r="D33" s="72">
        <v>140</v>
      </c>
      <c r="E33" s="72">
        <v>140</v>
      </c>
      <c r="F33" s="81">
        <v>260</v>
      </c>
      <c r="G33" s="81">
        <v>260</v>
      </c>
      <c r="H33" s="75">
        <v>325</v>
      </c>
    </row>
    <row r="34" spans="1:8" ht="15" customHeight="1" x14ac:dyDescent="0.45">
      <c r="A34" s="163" t="s">
        <v>240</v>
      </c>
      <c r="B34" s="164">
        <v>66</v>
      </c>
      <c r="C34" s="72">
        <v>72.5</v>
      </c>
      <c r="D34" s="72">
        <v>140</v>
      </c>
      <c r="E34" s="72">
        <v>140</v>
      </c>
      <c r="F34" s="81">
        <v>260</v>
      </c>
      <c r="G34" s="81">
        <v>260</v>
      </c>
      <c r="H34" s="75">
        <v>325</v>
      </c>
    </row>
    <row r="35" spans="1:8" ht="15" customHeight="1" x14ac:dyDescent="0.45">
      <c r="A35" s="163" t="s">
        <v>276</v>
      </c>
      <c r="B35" s="164">
        <v>66</v>
      </c>
      <c r="C35" s="72">
        <v>72.5</v>
      </c>
      <c r="D35" s="72">
        <v>140</v>
      </c>
      <c r="E35" s="72">
        <v>140</v>
      </c>
      <c r="F35" s="81">
        <v>260</v>
      </c>
      <c r="G35" s="81">
        <v>260</v>
      </c>
      <c r="H35" s="75">
        <v>325</v>
      </c>
    </row>
    <row r="36" spans="1:8" ht="15" customHeight="1" x14ac:dyDescent="0.45">
      <c r="A36" s="163" t="s">
        <v>241</v>
      </c>
      <c r="B36" s="164">
        <v>66</v>
      </c>
      <c r="C36" s="72">
        <v>72.5</v>
      </c>
      <c r="D36" s="72">
        <v>140</v>
      </c>
      <c r="E36" s="72">
        <v>140</v>
      </c>
      <c r="F36" s="81">
        <v>260</v>
      </c>
      <c r="G36" s="81">
        <v>260</v>
      </c>
      <c r="H36" s="75">
        <v>325</v>
      </c>
    </row>
    <row r="37" spans="1:8" ht="15" customHeight="1" x14ac:dyDescent="0.45">
      <c r="A37" s="163" t="s">
        <v>242</v>
      </c>
      <c r="B37" s="164">
        <v>66</v>
      </c>
      <c r="C37" s="72">
        <v>72.5</v>
      </c>
      <c r="D37" s="72">
        <v>140</v>
      </c>
      <c r="E37" s="72">
        <v>140</v>
      </c>
      <c r="F37" s="81">
        <v>260</v>
      </c>
      <c r="G37" s="81">
        <v>260</v>
      </c>
      <c r="H37" s="75">
        <v>325</v>
      </c>
    </row>
    <row r="38" spans="1:8" ht="15" customHeight="1" x14ac:dyDescent="0.45">
      <c r="A38" s="163" t="s">
        <v>243</v>
      </c>
      <c r="B38" s="164">
        <v>66</v>
      </c>
      <c r="C38" s="72">
        <v>72.5</v>
      </c>
      <c r="D38" s="72">
        <v>140</v>
      </c>
      <c r="E38" s="72">
        <v>140</v>
      </c>
      <c r="F38" s="81">
        <v>260</v>
      </c>
      <c r="G38" s="81">
        <v>260</v>
      </c>
      <c r="H38" s="75">
        <v>325</v>
      </c>
    </row>
    <row r="39" spans="1:8" ht="15" customHeight="1" thickBot="1" x14ac:dyDescent="0.5">
      <c r="A39" s="165" t="s">
        <v>244</v>
      </c>
      <c r="B39" s="166">
        <v>66</v>
      </c>
      <c r="C39" s="76">
        <v>72.5</v>
      </c>
      <c r="D39" s="76">
        <v>140</v>
      </c>
      <c r="E39" s="76">
        <v>140</v>
      </c>
      <c r="F39" s="82">
        <v>260</v>
      </c>
      <c r="G39" s="82">
        <v>260</v>
      </c>
      <c r="H39" s="77">
        <v>325</v>
      </c>
    </row>
  </sheetData>
  <phoneticPr fontId="8" type="noConversion"/>
  <pageMargins left="0.7" right="0.7" top="0.75" bottom="0.75" header="0.3" footer="0.3"/>
  <headerFooter>
    <oddHeader>&amp;R&amp;"Arial Black"&amp;10&amp;K4099DA INTERNAL&amp;1#_x000D_</oddHeader>
  </headerFooter>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BaseSheet</vt:lpstr>
      <vt:lpstr>Input_Data</vt:lpstr>
      <vt:lpstr>Comp_Stat</vt:lpstr>
      <vt:lpstr>Layer_Stat</vt:lpstr>
      <vt:lpstr>Res_Flux</vt:lpstr>
      <vt:lpstr>MM_blocks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Munji</dc:creator>
  <cp:lastModifiedBy>Andrey Nikishin</cp:lastModifiedBy>
  <dcterms:created xsi:type="dcterms:W3CDTF">2015-06-05T18:17:20Z</dcterms:created>
  <dcterms:modified xsi:type="dcterms:W3CDTF">2026-04-25T16:57:31Z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d9a29f-7d17-4193-85e4-1bef0fc2e901_Enabled">
    <vt:lpwstr>true</vt:lpwstr>
  </property>
  <property fmtid="{D5CDD505-2E9C-101B-9397-08002B2CF9AE}" pid="3" name="MSIP_Label_b8d9a29f-7d17-4193-85e4-1bef0fc2e901_SetDate">
    <vt:lpwstr>2023-09-07T14:27:27Z</vt:lpwstr>
  </property>
  <property fmtid="{D5CDD505-2E9C-101B-9397-08002B2CF9AE}" pid="4" name="MSIP_Label_b8d9a29f-7d17-4193-85e4-1bef0fc2e901_Method">
    <vt:lpwstr>Standard</vt:lpwstr>
  </property>
  <property fmtid="{D5CDD505-2E9C-101B-9397-08002B2CF9AE}" pid="5" name="MSIP_Label_b8d9a29f-7d17-4193-85e4-1bef0fc2e901_Name">
    <vt:lpwstr>b8d9a29f-7d17-4193-85e4-1bef0fc2e901</vt:lpwstr>
  </property>
  <property fmtid="{D5CDD505-2E9C-101B-9397-08002B2CF9AE}" pid="6" name="MSIP_Label_b8d9a29f-7d17-4193-85e4-1bef0fc2e901_SiteId">
    <vt:lpwstr>100b3c99-f3e2-4da0-9c8a-b9d345742c36</vt:lpwstr>
  </property>
  <property fmtid="{D5CDD505-2E9C-101B-9397-08002B2CF9AE}" pid="7" name="MSIP_Label_b8d9a29f-7d17-4193-85e4-1bef0fc2e901_ActionId">
    <vt:lpwstr>74630eb0-f492-46d2-83e2-cb8b48ea09c0</vt:lpwstr>
  </property>
  <property fmtid="{D5CDD505-2E9C-101B-9397-08002B2CF9AE}" pid="8" name="MSIP_Label_b8d9a29f-7d17-4193-85e4-1bef0fc2e901_ContentBits">
    <vt:lpwstr>1</vt:lpwstr>
  </property>
</Properties>
</file>