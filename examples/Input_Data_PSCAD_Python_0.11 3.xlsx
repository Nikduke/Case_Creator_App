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ndreyNikishin\MY_Code\Case_generator_v2\examples\"/>
    </mc:Choice>
  </mc:AlternateContent>
  <xr:revisionPtr revIDLastSave="0" documentId="13_ncr:1_{625FD90E-1B85-4B50-9D19-917B2E10B35B}" xr6:coauthVersionLast="47" xr6:coauthVersionMax="47" xr10:uidLastSave="{00000000-0000-0000-0000-000000000000}"/>
  <bookViews>
    <workbookView xWindow="-98" yWindow="-98" windowWidth="22695" windowHeight="14595" tabRatio="702" firstSheet="1" activeTab="3" xr2:uid="{00000000-000D-0000-FFFF-FFFF00000000}"/>
  </bookViews>
  <sheets>
    <sheet name="BaseSheet" sheetId="2" state="hidden" r:id="rId1"/>
    <sheet name="Input_Data" sheetId="1" r:id="rId2"/>
    <sheet name="Comp_Stat" sheetId="17" r:id="rId3"/>
    <sheet name="Layer_Stat" sheetId="18" r:id="rId4"/>
    <sheet name="Res_Flux" sheetId="6" r:id="rId5"/>
    <sheet name="MM_blocks" sheetId="16" r:id="rId6"/>
  </sheets>
  <definedNames>
    <definedName name="_xlnm._FilterDatabase" localSheetId="1" hidden="1">Input_Data!$A$1:$D$35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5" i="1" l="1"/>
  <c r="B44" i="1"/>
  <c r="K32" i="17"/>
  <c r="D32" i="17"/>
  <c r="N32" i="17"/>
  <c r="M32" i="17"/>
  <c r="L32" i="17"/>
  <c r="J32" i="17"/>
  <c r="I32" i="17"/>
  <c r="G32" i="17"/>
  <c r="H32" i="17"/>
  <c r="F32" i="17"/>
  <c r="E32" i="17"/>
  <c r="C32" i="17"/>
  <c r="B53" i="1" l="1"/>
  <c r="B39" i="1"/>
  <c r="B4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tc={C698EBFC-7F1A-4130-AB51-CF516D73A2FC}</author>
    <author>tc={4400D75F-EDF9-46DC-9CA6-FE72702B4A7E}</author>
    <author>tc={5DDB25AA-F796-4E33-AA2B-98014D1C8B39}</author>
    <author>tc={514D3AF3-D319-43D7-A9E2-567BA67814A2}</author>
  </authors>
  <commentList>
    <comment ref="B26" authorId="0" shapeId="0" xr:uid="{C698EBFC-7F1A-4130-AB51-CF516D73A2FC}">
      <text>
        <t>[Threaded comment]
Your version of Excel allows you to read this threaded comment; however, any edits to it will get removed if the file is opened in a newer version of Excel. Learn more: https://go.microsoft.com/fwlink/?linkid=870924
Comment:
    R+</t>
      </text>
    </comment>
    <comment ref="B27" authorId="1" shapeId="0" xr:uid="{4400D75F-EDF9-46DC-9CA6-FE72702B4A7E}">
      <text>
        <t>[Threaded comment]
Your version of Excel allows you to read this threaded comment; however, any edits to it will get removed if the file is opened in a newer version of Excel. Learn more: https://go.microsoft.com/fwlink/?linkid=870924
Comment:
    X+</t>
      </text>
    </comment>
    <comment ref="B28" authorId="2" shapeId="0" xr:uid="{5DDB25AA-F796-4E33-AA2B-98014D1C8B39}">
      <text>
        <t>[Threaded comment]
Your version of Excel allows you to read this threaded comment; however, any edits to it will get removed if the file is opened in a newer version of Excel. Learn more: https://go.microsoft.com/fwlink/?linkid=870924
Comment:
    R0</t>
      </text>
    </comment>
    <comment ref="B29" authorId="3" shapeId="0" xr:uid="{514D3AF3-D319-43D7-A9E2-567BA67814A2}">
      <text>
        <t>[Threaded comment]
Your version of Excel allows you to read this threaded comment; however, any edits to it will get removed if the file is opened in a newer version of Excel. Learn more: https://go.microsoft.com/fwlink/?linkid=870924
Comment:
    X0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tc={BCA55330-0DA1-45F0-9C6B-C07494C29A54}</author>
    <author>tc={7A24FDEC-76DA-4356-B821-EAB04EA6FDAF}</author>
  </authors>
  <commentList>
    <comment ref="F6" authorId="0" shapeId="0" xr:uid="{BCA55330-0DA1-45F0-9C6B-C07494C29A54}">
      <text>
        <t>[Threaded comment]
Your version of Excel allows you to read this threaded comment; however, any edits to it will get removed if the file is opened in a newer version of Excel. Learn more: https://go.microsoft.com/fwlink/?linkid=870924
Comment:
    Calculated with FP</t>
      </text>
    </comment>
    <comment ref="F22" authorId="1" shapeId="0" xr:uid="{7A24FDEC-76DA-4356-B821-EAB04EA6FDAF}">
      <text>
        <t>[Threaded comment]
Your version of Excel allows you to read this threaded comment; however, any edits to it will get removed if the file is opened in a newer version of Excel. Learn more: https://go.microsoft.com/fwlink/?linkid=870924
Comment:
    Calculated with FP</t>
      </text>
    </comment>
  </commentList>
</comments>
</file>

<file path=xl/sharedStrings.xml><?xml version="1.0" encoding="utf-8"?>
<sst xmlns="http://schemas.openxmlformats.org/spreadsheetml/2006/main" count="802" uniqueCount="251">
  <si>
    <t>Parameter</t>
  </si>
  <si>
    <t>Value</t>
  </si>
  <si>
    <t>Units</t>
  </si>
  <si>
    <t>Comment</t>
  </si>
  <si>
    <t>s</t>
  </si>
  <si>
    <t>Total run time of simulation</t>
  </si>
  <si>
    <t>us</t>
  </si>
  <si>
    <t>Int</t>
  </si>
  <si>
    <t>Real</t>
  </si>
  <si>
    <t>str</t>
  </si>
  <si>
    <t>Extension of FORTRAN genrated folder</t>
  </si>
  <si>
    <t>Parallel simulations</t>
  </si>
  <si>
    <t>Number of simulations to be run in parallel</t>
  </si>
  <si>
    <t>These base parameters will be used for all the studies</t>
  </si>
  <si>
    <t>Study type</t>
  </si>
  <si>
    <t>-</t>
  </si>
  <si>
    <t>DO NOT DELETE THIS SHEET</t>
  </si>
  <si>
    <t>Switch start</t>
  </si>
  <si>
    <t>Switch stop</t>
  </si>
  <si>
    <t>End of Range for Variable 1 in s  [Max1R]</t>
  </si>
  <si>
    <t>These parameters will be used for all the studies</t>
  </si>
  <si>
    <t>N1R</t>
  </si>
  <si>
    <t>Number of Runs for Variable 1</t>
  </si>
  <si>
    <t>N2R</t>
  </si>
  <si>
    <t>Number of Runs for Variable 2</t>
  </si>
  <si>
    <t>N3R</t>
  </si>
  <si>
    <t>Number of Runs for Variable 3</t>
  </si>
  <si>
    <t>Min1R</t>
  </si>
  <si>
    <t>Start of Range for Variable 1 (Switching on one cylcle, 20ms for 50Hz)</t>
  </si>
  <si>
    <t>Max1R</t>
  </si>
  <si>
    <t>End of Range for Variable 1</t>
  </si>
  <si>
    <t>Min2R</t>
  </si>
  <si>
    <t>Max2R</t>
  </si>
  <si>
    <t>Min3R</t>
  </si>
  <si>
    <t>Max3R</t>
  </si>
  <si>
    <t>Breaker_Status</t>
  </si>
  <si>
    <t>Definition</t>
  </si>
  <si>
    <t>Breaker</t>
  </si>
  <si>
    <t>Main</t>
  </si>
  <si>
    <t>ON</t>
  </si>
  <si>
    <t>Layers</t>
  </si>
  <si>
    <t>Layer</t>
  </si>
  <si>
    <t>R_flux</t>
  </si>
  <si>
    <t>Trf</t>
  </si>
  <si>
    <t>String</t>
  </si>
  <si>
    <t>Yes</t>
  </si>
  <si>
    <t>No</t>
  </si>
  <si>
    <t>Parameters for multiple run component (Stochastic mrun component)</t>
  </si>
  <si>
    <t>Parameters for multiple run component (Sequential mrun component)</t>
  </si>
  <si>
    <t>Select the type of study done in PSCAD</t>
  </si>
  <si>
    <t>Group</t>
  </si>
  <si>
    <t>PSCAD instances</t>
  </si>
  <si>
    <t>GFortran 4.2.1</t>
  </si>
  <si>
    <t>GFortran 4.6.2</t>
  </si>
  <si>
    <t>Intel 16.0.110</t>
  </si>
  <si>
    <t>Intel 16.0.110 (64-bit)</t>
  </si>
  <si>
    <t>Intel 16.0.207</t>
  </si>
  <si>
    <t>Intel 16.0.207 (64-bit)</t>
  </si>
  <si>
    <t>FORTRAN Compiler</t>
  </si>
  <si>
    <t>Set Up - Which folders, libraries, files do you need in the Case_folder?</t>
  </si>
  <si>
    <t>Libraries</t>
  </si>
  <si>
    <t>Put the folder names that you need separated by commas. The folders must be in the root folder</t>
  </si>
  <si>
    <t>Folders</t>
  </si>
  <si>
    <t>Files inside cases</t>
  </si>
  <si>
    <t>Files in Case_folder</t>
  </si>
  <si>
    <t>Name of .pswx file that can be sent to client</t>
  </si>
  <si>
    <t>Name of .pswx file for internal MPE use</t>
  </si>
  <si>
    <t xml:space="preserve">Set Up - Define the auto controllers you want to use? </t>
  </si>
  <si>
    <t>Auto_Ctrl</t>
  </si>
  <si>
    <t>Auto</t>
  </si>
  <si>
    <t>Hz</t>
  </si>
  <si>
    <t>Enable</t>
  </si>
  <si>
    <t>Sweep_Components</t>
  </si>
  <si>
    <t>Frequency sweep options</t>
  </si>
  <si>
    <t>Min Frequency</t>
  </si>
  <si>
    <t>Min frequency for sweep (Fmin)</t>
  </si>
  <si>
    <t>Max Frequency</t>
  </si>
  <si>
    <t>Min frequency for sweep (Fmax)</t>
  </si>
  <si>
    <t>Frequency increment</t>
  </si>
  <si>
    <t>Steps of frequency increment (Finc)</t>
  </si>
  <si>
    <t>Increment Type</t>
  </si>
  <si>
    <t>Linear = 0, log = 1 (FType)</t>
  </si>
  <si>
    <t>Z output type</t>
  </si>
  <si>
    <t>Sequence impedance = 0, Phase impedance =1 (HType)</t>
  </si>
  <si>
    <t>Frequency units</t>
  </si>
  <si>
    <t>Frequency output units (FUnits)</t>
  </si>
  <si>
    <t>Impedancce output units</t>
  </si>
  <si>
    <t>Magnitude and phase =0, real and imaginary = 1 (HUnits)</t>
  </si>
  <si>
    <t>Fault_level</t>
  </si>
  <si>
    <t>Input parameters pre Snapshot</t>
  </si>
  <si>
    <t>Input parameters post Snapshot</t>
  </si>
  <si>
    <t>This option enable 1 model for MPE and 1 for client. Typical of Orsted studies to not provide MPE IP</t>
  </si>
  <si>
    <t>On</t>
  </si>
  <si>
    <t>Off</t>
  </si>
  <si>
    <t>On-Off</t>
  </si>
  <si>
    <t>Switch type</t>
  </si>
  <si>
    <t>Faults</t>
  </si>
  <si>
    <t>Consider residual flux of transformers? Yes or No - Only for TX Energisation studies</t>
  </si>
  <si>
    <t>Residual Flux</t>
  </si>
  <si>
    <t>Off-On</t>
  </si>
  <si>
    <t>Time step</t>
  </si>
  <si>
    <t>Initialisation duration</t>
  </si>
  <si>
    <t>Final duration</t>
  </si>
  <si>
    <t>Total run time of simulation after snapshot</t>
  </si>
  <si>
    <r>
      <t>Simulation plot step.</t>
    </r>
    <r>
      <rPr>
        <sz val="11"/>
        <color rgb="FF7030A0"/>
        <rFont val="Calibri"/>
        <family val="2"/>
        <scheme val="minor"/>
      </rPr>
      <t xml:space="preserve"> Recommended 20 for SFO and 100 for TOV</t>
    </r>
  </si>
  <si>
    <r>
      <t xml:space="preserve">Simulation time step.  </t>
    </r>
    <r>
      <rPr>
        <sz val="11"/>
        <color rgb="FF7030A0"/>
        <rFont val="Calibri"/>
        <family val="2"/>
        <scheme val="minor"/>
      </rPr>
      <t>Recommended 2 for SFO and 5 for TOV</t>
    </r>
  </si>
  <si>
    <t>Snapshot Time</t>
  </si>
  <si>
    <t>Client file exist</t>
  </si>
  <si>
    <t>MPE Workspace</t>
  </si>
  <si>
    <t>Client Workspace</t>
  </si>
  <si>
    <t>Sequential or Stochastic</t>
  </si>
  <si>
    <t>Switch operation</t>
  </si>
  <si>
    <t>Sequential</t>
  </si>
  <si>
    <t>Take Snapshot</t>
  </si>
  <si>
    <t>Frequency Sweep</t>
  </si>
  <si>
    <t>If you say Yes to that the script ignores all that is not the sweep</t>
  </si>
  <si>
    <t>Parameters for fault (Sequential runs)</t>
  </si>
  <si>
    <t>Frequency</t>
  </si>
  <si>
    <t>Grid frequency</t>
  </si>
  <si>
    <t>The values in grey should only be modified if required for studies otherwise kept as default</t>
  </si>
  <si>
    <t>These are the variables in the client PSCAD file</t>
  </si>
  <si>
    <t>These parameters will be used for sequential switching</t>
  </si>
  <si>
    <t>These parameters will be only used for stochastic switching</t>
  </si>
  <si>
    <t>Use faults with some switching (defines the switch stop). If you desire no switching don`t use SWITCH in Comp_Stat</t>
  </si>
  <si>
    <t>These parameters will be used for Frequency Sweep. It is recommended to have client file when doing Frequency Sweep so that the taps you use are the correct ones for your study</t>
  </si>
  <si>
    <t>List</t>
  </si>
  <si>
    <r>
      <rPr>
        <sz val="11"/>
        <color rgb="FFFF0000"/>
        <rFont val="Calibri"/>
        <family val="2"/>
        <scheme val="minor"/>
      </rPr>
      <t>If Client file exists</t>
    </r>
    <r>
      <rPr>
        <sz val="11"/>
        <color theme="1"/>
        <rFont val="Calibri"/>
        <family val="2"/>
        <scheme val="minor"/>
      </rPr>
      <t xml:space="preserve"> select the controlled variables in the order they appear</t>
    </r>
  </si>
  <si>
    <t>Post Process</t>
  </si>
  <si>
    <t>Number of cores</t>
  </si>
  <si>
    <t>Number of cores to be used in the Post Processing. Auto will use 90% of PC capacity limited to 60 cores (Python limit)</t>
  </si>
  <si>
    <t>Constants</t>
  </si>
  <si>
    <t>Un</t>
  </si>
  <si>
    <t>Um</t>
  </si>
  <si>
    <t>If you have faults pay attention to Fault starts (Should be greater than switch start)</t>
  </si>
  <si>
    <t>If you have faults pay attention to Fault starts (Should be the same unless special conditions apply)</t>
  </si>
  <si>
    <t>Fault increment</t>
  </si>
  <si>
    <t>Switch increment</t>
  </si>
  <si>
    <t>Fault start</t>
  </si>
  <si>
    <t>CB</t>
  </si>
  <si>
    <t>LIWL</t>
  </si>
  <si>
    <t>MM_230_OSS1</t>
  </si>
  <si>
    <t>Stochastic single-pole</t>
  </si>
  <si>
    <t>Stochastic 3-pole</t>
  </si>
  <si>
    <t>Select the type of switching for the breaker in the study</t>
  </si>
  <si>
    <t>None</t>
  </si>
  <si>
    <r>
      <t>Are there faults in your study? Yes or No -</t>
    </r>
    <r>
      <rPr>
        <sz val="11"/>
        <color rgb="FFFF0000"/>
        <rFont val="Calibri"/>
        <family val="2"/>
        <scheme val="minor"/>
      </rPr>
      <t xml:space="preserve"> Faults are only applicable in sequential studies</t>
    </r>
  </si>
  <si>
    <t>2nd Switch delay</t>
  </si>
  <si>
    <t>Time delay to perform 2nd switch after 1st switch</t>
  </si>
  <si>
    <t>Start of Range for Fault</t>
  </si>
  <si>
    <r>
      <t>Increment for each run in s  [Inc1R]</t>
    </r>
    <r>
      <rPr>
        <sz val="11"/>
        <color rgb="FFFF0000"/>
        <rFont val="Calibri"/>
        <family val="2"/>
        <scheme val="minor"/>
      </rPr>
      <t xml:space="preserve"> - That is only relevant if Switch type is None then the multirun is only defined by faults</t>
    </r>
  </si>
  <si>
    <r>
      <t>End of Range for fault</t>
    </r>
    <r>
      <rPr>
        <sz val="11"/>
        <color rgb="FFFF0000"/>
        <rFont val="Calibri"/>
        <family val="2"/>
        <scheme val="minor"/>
      </rPr>
      <t xml:space="preserve">  - That is only relevant if Switch type is None then the multirun is only defined by faults</t>
    </r>
  </si>
  <si>
    <t>Fault end</t>
  </si>
  <si>
    <t>Plot step</t>
  </si>
  <si>
    <t>OFF</t>
  </si>
  <si>
    <t>Relative paths to library names that you need separated by commas. The libs must be in the root folder - Use "Foldername\" if inside folder</t>
  </si>
  <si>
    <t>Relative paths to file names that you need separated by commas. The files must be in the root folder - Use "Foldername\" if inside folder</t>
  </si>
  <si>
    <t>Relative paths to file names that you need separated by commas. The folders containing them must be in the root folder - Use "Foldername\" if inside folder</t>
  </si>
  <si>
    <t>0.8,-0.4,-0.4</t>
  </si>
  <si>
    <t>Create cases</t>
  </si>
  <si>
    <r>
      <t xml:space="preserve">Snapshot time as a real number, </t>
    </r>
    <r>
      <rPr>
        <sz val="11"/>
        <color rgb="FFFF0000"/>
        <rFont val="Calibri"/>
        <family val="2"/>
        <scheme val="minor"/>
      </rPr>
      <t>only works when snap_shot &gt; 0</t>
    </r>
  </si>
  <si>
    <t>Think carefully before changing this - This will jump the case creation and jump straigth to run snapshot, then run simulations</t>
  </si>
  <si>
    <t>Think carefully before changing this - You NEED a Snapshot to run studies this option is only applicable when you already have a snapshot (exception to Freq Sweep) - Choose No if you already have the snapshots from a previous run - If you have a client file think thrice</t>
  </si>
  <si>
    <r>
      <t>End of Range for Variable 2</t>
    </r>
    <r>
      <rPr>
        <sz val="11"/>
        <color rgb="FFFF0000"/>
        <rFont val="Calibri"/>
        <family val="2"/>
        <scheme val="minor"/>
      </rPr>
      <t xml:space="preserve"> - Breaker scatter if  3-pole switching selected or end of range if single-pole switching selected</t>
    </r>
  </si>
  <si>
    <r>
      <t>End of Range for Variable 3</t>
    </r>
    <r>
      <rPr>
        <sz val="11"/>
        <color rgb="FFFF0000"/>
        <rFont val="Calibri"/>
        <family val="2"/>
        <scheme val="minor"/>
      </rPr>
      <t xml:space="preserve"> - Breaker scatter if  3-pole switching selected or end of range if single-pole switching selected</t>
    </r>
  </si>
  <si>
    <r>
      <t>Start of Range for Variable 3</t>
    </r>
    <r>
      <rPr>
        <sz val="11"/>
        <color rgb="FFFF0000"/>
        <rFont val="Calibri"/>
        <family val="2"/>
        <scheme val="minor"/>
      </rPr>
      <t xml:space="preserve"> - Breaker scatter if  3-pole switching selected or start of range if single-pole switching selected</t>
    </r>
  </si>
  <si>
    <r>
      <t>Start of Range for Variable 2</t>
    </r>
    <r>
      <rPr>
        <sz val="11"/>
        <color rgb="FFFF0000"/>
        <rFont val="Calibri"/>
        <family val="2"/>
        <scheme val="minor"/>
      </rPr>
      <t xml:space="preserve"> - Breaker scatter if  3-pole switching selected or start of range if single-pole switching selected</t>
    </r>
  </si>
  <si>
    <t>CB_161_ONT1</t>
  </si>
  <si>
    <t>CB_230_ONT1</t>
  </si>
  <si>
    <t>CB_230_ONC1</t>
  </si>
  <si>
    <t>CB_230_VSR1</t>
  </si>
  <si>
    <t>CB_230_OFT1</t>
  </si>
  <si>
    <t>CB_230_TIE</t>
  </si>
  <si>
    <t>CB_161_ONT2</t>
  </si>
  <si>
    <t>CB_230_ONT2</t>
  </si>
  <si>
    <t>CB_230_ONC2</t>
  </si>
  <si>
    <t>CB_230_VSR2</t>
  </si>
  <si>
    <t>CB_230_OFT2</t>
  </si>
  <si>
    <t>MM_230_ONT1</t>
  </si>
  <si>
    <t>MM_161_TPC</t>
  </si>
  <si>
    <t>MM_161_ONT1</t>
  </si>
  <si>
    <t>MM_161_ONT2</t>
  </si>
  <si>
    <t>MM_230_ONT2</t>
  </si>
  <si>
    <t>MM_230_VSR1</t>
  </si>
  <si>
    <t>MM_230_VSR2</t>
  </si>
  <si>
    <t>MM_230_ONC1</t>
  </si>
  <si>
    <t>MM_230_ONC2</t>
  </si>
  <si>
    <t>MM_230_OSS2</t>
  </si>
  <si>
    <t>MM_230_OFT1</t>
  </si>
  <si>
    <t>MM_230_OFT2</t>
  </si>
  <si>
    <t>Adjust names</t>
  </si>
  <si>
    <t>If you switch to No, the MMs, CBs, ZMs, and TOVs names and  will not be adjusted by script. It will make case creation faster but more prone to human error</t>
  </si>
  <si>
    <t>If you say Yes only the post processing is done. You need to already have the PSCAD results in this case</t>
  </si>
  <si>
    <t>Jump to Post Processing</t>
  </si>
  <si>
    <t>SDPF_LG</t>
  </si>
  <si>
    <t>SDPF_LL</t>
  </si>
  <si>
    <t>SIWL_LG</t>
  </si>
  <si>
    <t>SIWL_LL</t>
  </si>
  <si>
    <t>MM_22_ONS1</t>
  </si>
  <si>
    <t>MM_22_ONS2</t>
  </si>
  <si>
    <t>MM_22_ONT1</t>
  </si>
  <si>
    <t>MM_22_ONT2</t>
  </si>
  <si>
    <t>MM_230_ONS1</t>
  </si>
  <si>
    <t>MM_230_ONS2</t>
  </si>
  <si>
    <t>MM_66_OFT1</t>
  </si>
  <si>
    <t>MM_66_OFT2</t>
  </si>
  <si>
    <t>OSS_TX1</t>
  </si>
  <si>
    <t>OSS_TX2</t>
  </si>
  <si>
    <t>Script_FL</t>
  </si>
  <si>
    <t>OnSS_VSR1</t>
  </si>
  <si>
    <t>OnSS_VSR2</t>
  </si>
  <si>
    <t>I_VSR</t>
  </si>
  <si>
    <t>ONT_Z</t>
  </si>
  <si>
    <t>CB_22_ONT1</t>
  </si>
  <si>
    <t>CB_22_ONT2</t>
  </si>
  <si>
    <t>CB_22_TIE</t>
  </si>
  <si>
    <t>CB_66_OFT1</t>
  </si>
  <si>
    <t>CB_66_OFT2</t>
  </si>
  <si>
    <t>Formosa_IV.pswx</t>
  </si>
  <si>
    <t>CB_66_TIE</t>
  </si>
  <si>
    <t>FS_OSS</t>
  </si>
  <si>
    <t>MM_161_ONS</t>
  </si>
  <si>
    <t>AC_Vgridpu</t>
  </si>
  <si>
    <t>Extra</t>
  </si>
  <si>
    <t>Disable</t>
  </si>
  <si>
    <t>C23_S3_TT1_TC1_L</t>
  </si>
  <si>
    <t>C23_S3_TT2_TC1_F</t>
  </si>
  <si>
    <t>TC1</t>
  </si>
  <si>
    <t>TC2</t>
  </si>
  <si>
    <t>TC3</t>
  </si>
  <si>
    <t>TC4</t>
  </si>
  <si>
    <t>TC5</t>
  </si>
  <si>
    <t>TC6</t>
  </si>
  <si>
    <t>TC7</t>
  </si>
  <si>
    <t>TC8</t>
  </si>
  <si>
    <t>TC9</t>
  </si>
  <si>
    <t>C22_S1_TT9_TC9_L</t>
  </si>
  <si>
    <t>C22_S3_TT9_TC9_L</t>
  </si>
  <si>
    <t>C21_S1_TT6_TC1_F</t>
  </si>
  <si>
    <t>C21_S1_TT9_TC5_F</t>
  </si>
  <si>
    <t>C21_S2_TT9_TC5_F</t>
  </si>
  <si>
    <t>C21_S1_TT9_TC9_F</t>
  </si>
  <si>
    <t>C21_S3_TT9_TC9_F</t>
  </si>
  <si>
    <t>C23_S1_TT9_TC9_L</t>
  </si>
  <si>
    <t>C22_S2_TT9_TC9_F</t>
  </si>
  <si>
    <t>C23_S1_TT9_TC8_L</t>
  </si>
  <si>
    <t>CB_161_TPC</t>
  </si>
  <si>
    <t>CB_161_ONS</t>
  </si>
  <si>
    <t>CB_230_HF1</t>
  </si>
  <si>
    <t>CB_230_HF2</t>
  </si>
  <si>
    <t>SWITCH</t>
  </si>
  <si>
    <t>CB_161_FIC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</si>
</sst>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00"/>
    <numFmt numFmtId="166" formatCode="0.0"/>
    <numFmt numFmtId="167" formatCode="0.000000"/>
    <numFmt numFmtId="168" formatCode="0.000"/>
    <numFmt numFmtId="169" formatCode="#,##0.00000"/>
  </numFmts>
  <fonts count="21" x14ac:knownFonts="1">
    <font>
      <sz val="11"/>
      <color theme="1"/>
      <name val="Calibri"/>
      <family val="2"/>
      <scheme val="minor"/>
    </font>
    <font>
      <b/>
      <sz val="11"/>
      <color theme="1"/>
      <name val="Calibri"/>
      <family val="2"/>
      <scheme val="minor"/>
    </font>
    <font>
      <b/>
      <sz val="11"/>
      <color rgb="FF7030A0"/>
      <name val="Calibri"/>
      <family val="2"/>
      <scheme val="minor"/>
    </font>
    <font>
      <b/>
      <sz val="11"/>
      <color rgb="FFFF0000"/>
      <name val="Calibri"/>
      <family val="2"/>
      <scheme val="minor"/>
    </font>
    <font>
      <b/>
      <sz val="18"/>
      <color rgb="FFFF0000"/>
      <name val="Calibri"/>
      <family val="2"/>
      <scheme val="minor"/>
    </font>
    <font>
      <b/>
      <sz val="11"/>
      <color rgb="FF0070C0"/>
      <name val="Calibri"/>
      <family val="2"/>
      <scheme val="minor"/>
    </font>
    <font>
      <b/>
      <sz val="11"/>
      <color theme="0" tint="-0.499984740745262"/>
      <name val="Calibri"/>
      <family val="2"/>
      <scheme val="minor"/>
    </font>
    <font>
      <sz val="11"/>
      <color theme="0" tint="-0.34998626667073579"/>
      <name val="Calibri"/>
      <family val="2"/>
      <scheme val="minor"/>
    </font>
    <font>
      <sz val="8"/>
      <name val="Calibri"/>
      <family val="2"/>
      <scheme val="minor"/>
    </font>
    <font>
      <sz val="11"/>
      <color theme="0" tint="-0.499984740745262"/>
      <name val="Calibri"/>
      <family val="2"/>
      <scheme val="minor"/>
    </font>
    <font>
      <sz val="11"/>
      <color rgb="FFFF0000"/>
      <name val="Calibri"/>
      <family val="2"/>
      <scheme val="minor"/>
    </font>
    <font>
      <sz val="11"/>
      <color rgb="FF7030A0"/>
      <name val="Calibri"/>
      <family val="2"/>
      <scheme val="minor"/>
    </font>
    <font>
      <b/>
      <sz val="11"/>
      <color rgb="FF002060"/>
      <name val="Calibri"/>
      <family val="2"/>
      <scheme val="minor"/>
    </font>
    <font>
      <b/>
      <sz val="11"/>
      <name val="Calibri"/>
      <family val="2"/>
      <scheme val="minor"/>
    </font>
    <font>
      <b/>
      <sz val="9"/>
      <color rgb="FFFF0000"/>
      <name val="Calibri"/>
      <family val="2"/>
      <scheme val="minor"/>
    </font>
    <font>
      <sz val="9"/>
      <color theme="1"/>
      <name val="Calibri"/>
      <family val="2"/>
      <scheme val="minor"/>
    </font>
    <font>
      <b/>
      <sz val="9"/>
      <color rgb="FF7030A0"/>
      <name val="Calibri"/>
      <family val="2"/>
      <scheme val="minor"/>
    </font>
    <font>
      <sz val="9"/>
      <color rgb="FFFF0000"/>
      <name val="Calibri"/>
      <family val="2"/>
      <scheme val="minor"/>
    </font>
    <font>
      <sz val="9"/>
      <color theme="0"/>
      <name val="Calibri"/>
      <family val="2"/>
      <scheme val="minor"/>
    </font>
    <font>
      <b/>
      <sz val="9"/>
      <color theme="1"/>
      <name val="Calibri"/>
      <family val="2"/>
      <scheme val="minor"/>
    </font>
    <font>
      <sz val="8"/>
      <color theme="1"/>
      <name val="Calibri"/>
      <family val="2"/>
      <scheme val="minor"/>
    </font>
  </fonts>
  <fills count="20">
    <fill>
      <patternFill patternType="none"/>
    </fill>
    <fill>
      <patternFill patternType="gray125"/>
    </fill>
    <fill>
      <patternFill patternType="solid">
        <fgColor theme="0"/>
        <bgColor theme="0"/>
      </patternFill>
    </fill>
    <fill>
      <patternFill patternType="solid">
        <fgColor theme="0" tint="-0.14999847407452621"/>
        <bgColor theme="0"/>
      </patternFill>
    </fill>
    <fill>
      <patternFill patternType="solid">
        <fgColor indexed="65"/>
        <bgColor theme="0"/>
      </patternFill>
    </fill>
    <fill>
      <patternFill patternType="solid">
        <fgColor rgb="FFFFFF00"/>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59999389629810485"/>
        <bgColor theme="0"/>
      </patternFill>
    </fill>
    <fill>
      <patternFill patternType="solid">
        <fgColor theme="2" tint="-9.9978637043366805E-2"/>
        <bgColor indexed="64"/>
      </patternFill>
    </fill>
    <fill>
      <patternFill patternType="solid">
        <fgColor theme="4" tint="-0.249977111117893"/>
        <bgColor indexed="64"/>
      </patternFill>
    </fill>
    <fill>
      <patternFill patternType="solid">
        <fgColor theme="8" tint="-0.249977111117893"/>
        <bgColor theme="0"/>
      </patternFill>
    </fill>
    <fill>
      <patternFill patternType="solid">
        <fgColor theme="2" tint="-0.499984740745262"/>
        <bgColor indexed="64"/>
      </patternFill>
    </fill>
    <fill>
      <patternFill patternType="solid">
        <fgColor theme="0"/>
        <bgColor indexed="64"/>
      </patternFill>
    </fill>
  </fills>
  <borders count="38">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thin">
        <color indexed="64"/>
      </left>
      <right style="medium">
        <color indexed="64"/>
      </right>
      <top/>
      <bottom/>
      <diagonal/>
    </border>
  </borders>
  <cellStyleXfs count="1">
    <xf numFmtId="0" fontId="0" fillId="0" borderId="0"/>
  </cellStyleXfs>
  <cellXfs count="185">
    <xf numFmtId="0" fontId="0" fillId="0" borderId="0" xfId="0"/>
    <xf numFmtId="0" fontId="0" fillId="2" borderId="0" xfId="0" applyFill="1"/>
    <xf numFmtId="0" fontId="7" fillId="2" borderId="0" xfId="0" applyFont="1" applyFill="1"/>
    <xf numFmtId="0" fontId="2" fillId="2" borderId="0" xfId="0" applyFont="1" applyFill="1" applyAlignment="1" applyProtection="1">
      <alignment horizontal="center" vertical="center" wrapText="1"/>
      <protection locked="0"/>
    </xf>
    <xf numFmtId="0" fontId="0" fillId="2" borderId="6" xfId="0" applyFill="1" applyBorder="1" applyAlignment="1">
      <alignment horizontal="center" vertical="center"/>
    </xf>
    <xf numFmtId="0" fontId="1" fillId="2" borderId="3"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6" xfId="0" quotePrefix="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1" fillId="2" borderId="6" xfId="0" applyFont="1"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center"/>
    </xf>
    <xf numFmtId="0" fontId="1" fillId="3" borderId="3" xfId="0" applyFont="1" applyFill="1" applyBorder="1" applyAlignment="1">
      <alignment horizontal="center" vertical="center"/>
    </xf>
    <xf numFmtId="0" fontId="9" fillId="2" borderId="6" xfId="0" applyFont="1" applyFill="1" applyBorder="1" applyAlignment="1">
      <alignment horizontal="center" vertical="center"/>
    </xf>
    <xf numFmtId="0" fontId="0" fillId="2" borderId="0" xfId="0" applyFill="1" applyAlignment="1" applyProtection="1">
      <alignment horizontal="center" vertical="center"/>
      <protection locked="0"/>
    </xf>
    <xf numFmtId="167" fontId="0" fillId="2" borderId="0" xfId="0" applyNumberFormat="1" applyFill="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165" fontId="0" fillId="2" borderId="0" xfId="0" applyNumberFormat="1" applyFill="1" applyAlignment="1" applyProtection="1">
      <alignment horizontal="left" vertical="center"/>
      <protection locked="0"/>
    </xf>
    <xf numFmtId="0" fontId="1" fillId="2" borderId="0" xfId="0" applyFont="1" applyFill="1" applyAlignment="1" applyProtection="1">
      <alignment horizontal="left" vertical="center"/>
      <protection locked="0"/>
    </xf>
    <xf numFmtId="0" fontId="0" fillId="2" borderId="0" xfId="0" quotePrefix="1" applyFill="1" applyAlignment="1" applyProtection="1">
      <alignment horizontal="left" vertical="center"/>
      <protection locked="0"/>
    </xf>
    <xf numFmtId="0" fontId="2" fillId="2" borderId="0" xfId="0" applyFont="1" applyFill="1" applyAlignment="1" applyProtection="1">
      <alignment horizontal="left" vertical="center" wrapText="1"/>
      <protection locked="0"/>
    </xf>
    <xf numFmtId="0" fontId="0" fillId="2" borderId="9" xfId="0" quotePrefix="1" applyFill="1" applyBorder="1" applyAlignment="1" applyProtection="1">
      <alignment horizontal="center" vertical="center"/>
      <protection locked="0"/>
    </xf>
    <xf numFmtId="0" fontId="12" fillId="5" borderId="0" xfId="0" applyFont="1" applyFill="1" applyAlignment="1" applyProtection="1">
      <alignment horizontal="left" vertical="center"/>
      <protection locked="0"/>
    </xf>
    <xf numFmtId="0" fontId="9" fillId="2" borderId="0" xfId="0" applyFont="1" applyFill="1" applyAlignment="1">
      <alignment horizontal="center" vertical="center"/>
    </xf>
    <xf numFmtId="0" fontId="9" fillId="2" borderId="9" xfId="0" applyFont="1" applyFill="1" applyBorder="1" applyAlignment="1">
      <alignment horizontal="center" vertical="center"/>
    </xf>
    <xf numFmtId="0" fontId="1" fillId="3" borderId="2" xfId="0" applyFont="1"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2" borderId="10" xfId="0" applyFill="1" applyBorder="1" applyAlignment="1" applyProtection="1">
      <alignment horizontal="center" vertical="center" wrapText="1"/>
      <protection locked="0"/>
    </xf>
    <xf numFmtId="0" fontId="0" fillId="2" borderId="0" xfId="0" applyFill="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0" fillId="2" borderId="9" xfId="0" quotePrefix="1" applyFill="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0" fontId="0" fillId="2" borderId="0" xfId="0" applyFill="1" applyAlignment="1">
      <alignment horizontal="left" vertical="center" wrapText="1"/>
    </xf>
    <xf numFmtId="0" fontId="1" fillId="3" borderId="4" xfId="0" applyFont="1" applyFill="1" applyBorder="1" applyAlignment="1">
      <alignment horizontal="center" vertical="center" wrapText="1"/>
    </xf>
    <xf numFmtId="0" fontId="0" fillId="2" borderId="7" xfId="0"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5" fillId="2" borderId="0" xfId="0" applyFont="1" applyFill="1" applyAlignment="1" applyProtection="1">
      <alignment horizontal="left" vertical="center" wrapText="1"/>
      <protection locked="0"/>
    </xf>
    <xf numFmtId="0" fontId="1" fillId="2" borderId="6" xfId="0" applyFont="1" applyFill="1" applyBorder="1" applyAlignment="1" applyProtection="1">
      <alignment horizontal="center" vertical="center" wrapText="1"/>
      <protection locked="0"/>
    </xf>
    <xf numFmtId="0" fontId="6" fillId="2" borderId="6" xfId="0" applyFont="1" applyFill="1" applyBorder="1" applyAlignment="1">
      <alignment horizontal="center" vertical="center" wrapText="1"/>
    </xf>
    <xf numFmtId="0" fontId="13" fillId="2" borderId="6"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wrapText="1"/>
      <protection locked="0"/>
    </xf>
    <xf numFmtId="0" fontId="1" fillId="3"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center" vertical="center" wrapText="1"/>
    </xf>
    <xf numFmtId="164" fontId="0" fillId="2" borderId="0" xfId="0" applyNumberFormat="1" applyFill="1" applyAlignment="1" applyProtection="1">
      <alignment horizontal="center" vertical="center" wrapText="1"/>
      <protection locked="0"/>
    </xf>
    <xf numFmtId="164" fontId="1" fillId="2" borderId="6" xfId="0" applyNumberFormat="1" applyFont="1" applyFill="1" applyBorder="1" applyAlignment="1" applyProtection="1">
      <alignment horizontal="center" vertical="center" wrapText="1"/>
      <protection locked="0"/>
    </xf>
    <xf numFmtId="164" fontId="1" fillId="2" borderId="9" xfId="0" applyNumberFormat="1" applyFont="1" applyFill="1" applyBorder="1" applyAlignment="1" applyProtection="1">
      <alignment horizontal="center" vertical="center" wrapText="1"/>
      <protection locked="0"/>
    </xf>
    <xf numFmtId="168" fontId="1" fillId="2" borderId="6" xfId="0" applyNumberFormat="1" applyFont="1" applyFill="1" applyBorder="1" applyAlignment="1" applyProtection="1">
      <alignment horizontal="center" vertical="center" wrapText="1"/>
      <protection locked="0"/>
    </xf>
    <xf numFmtId="168" fontId="13" fillId="2" borderId="6" xfId="0" applyNumberFormat="1" applyFont="1" applyFill="1" applyBorder="1" applyAlignment="1" applyProtection="1">
      <alignment horizontal="center" vertical="center" wrapText="1"/>
      <protection locked="0"/>
    </xf>
    <xf numFmtId="167" fontId="1" fillId="2" borderId="6" xfId="0" applyNumberFormat="1" applyFont="1" applyFill="1" applyBorder="1" applyAlignment="1" applyProtection="1">
      <alignment horizontal="center" vertical="center" wrapText="1"/>
      <protection locked="0"/>
    </xf>
    <xf numFmtId="0" fontId="14" fillId="4" borderId="0" xfId="0" applyFont="1" applyFill="1" applyAlignment="1">
      <alignment horizontal="center" vertical="center"/>
    </xf>
    <xf numFmtId="0" fontId="15" fillId="4" borderId="0" xfId="0" applyFont="1" applyFill="1" applyAlignment="1">
      <alignment horizontal="center" vertical="center"/>
    </xf>
    <xf numFmtId="0" fontId="15" fillId="2" borderId="0" xfId="0" applyFont="1" applyFill="1" applyAlignment="1">
      <alignment horizontal="center" vertical="center"/>
    </xf>
    <xf numFmtId="0" fontId="15" fillId="4" borderId="2" xfId="0" applyFont="1" applyFill="1" applyBorder="1" applyAlignment="1">
      <alignment horizontal="center" vertical="center"/>
    </xf>
    <xf numFmtId="0" fontId="15" fillId="4" borderId="4" xfId="0" applyFont="1" applyFill="1" applyBorder="1" applyAlignment="1">
      <alignment horizontal="center" vertical="center"/>
    </xf>
    <xf numFmtId="166" fontId="15" fillId="4" borderId="2" xfId="0" applyNumberFormat="1" applyFont="1" applyFill="1" applyBorder="1" applyAlignment="1">
      <alignment horizontal="center" vertical="center"/>
    </xf>
    <xf numFmtId="166" fontId="15" fillId="4" borderId="4" xfId="0" applyNumberFormat="1" applyFont="1" applyFill="1" applyBorder="1" applyAlignment="1">
      <alignment horizontal="center" vertical="center"/>
    </xf>
    <xf numFmtId="0" fontId="15" fillId="4" borderId="8" xfId="0" applyFont="1" applyFill="1" applyBorder="1" applyAlignment="1">
      <alignment horizontal="center" vertical="center"/>
    </xf>
    <xf numFmtId="0" fontId="15" fillId="4" borderId="10" xfId="0" applyFont="1" applyFill="1" applyBorder="1" applyAlignment="1">
      <alignment horizontal="center" vertical="center"/>
    </xf>
    <xf numFmtId="166" fontId="15" fillId="4" borderId="8" xfId="0" applyNumberFormat="1" applyFont="1" applyFill="1" applyBorder="1" applyAlignment="1">
      <alignment horizontal="center" vertical="center"/>
    </xf>
    <xf numFmtId="166" fontId="15" fillId="4" borderId="10" xfId="0" applyNumberFormat="1" applyFont="1" applyFill="1" applyBorder="1" applyAlignment="1">
      <alignment horizontal="center" vertical="center"/>
    </xf>
    <xf numFmtId="0" fontId="16" fillId="2" borderId="0" xfId="0" applyFont="1" applyFill="1" applyAlignment="1">
      <alignment horizontal="center" vertical="center"/>
    </xf>
    <xf numFmtId="0" fontId="15" fillId="2" borderId="6"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31" xfId="0" applyFont="1" applyFill="1" applyBorder="1" applyAlignment="1">
      <alignment horizontal="center" vertical="center"/>
    </xf>
    <xf numFmtId="0" fontId="14" fillId="2" borderId="30" xfId="0" applyFont="1" applyFill="1" applyBorder="1" applyAlignment="1">
      <alignment horizontal="center" vertical="center"/>
    </xf>
    <xf numFmtId="0" fontId="15" fillId="2" borderId="32" xfId="0" applyFont="1" applyFill="1" applyBorder="1" applyAlignment="1">
      <alignment horizontal="center" vertical="center"/>
    </xf>
    <xf numFmtId="0" fontId="15" fillId="2" borderId="28" xfId="0" applyFont="1" applyFill="1" applyBorder="1" applyAlignment="1">
      <alignment horizontal="center" vertical="center"/>
    </xf>
    <xf numFmtId="0" fontId="15" fillId="2" borderId="33"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5" fillId="3" borderId="15" xfId="0" applyFont="1" applyFill="1" applyBorder="1" applyAlignment="1">
      <alignment horizontal="center" vertical="center"/>
    </xf>
    <xf numFmtId="0" fontId="15" fillId="3" borderId="16" xfId="0" applyFont="1" applyFill="1" applyBorder="1" applyAlignment="1">
      <alignment horizontal="center" vertical="center"/>
    </xf>
    <xf numFmtId="0" fontId="15" fillId="3" borderId="17" xfId="0" applyFont="1" applyFill="1" applyBorder="1" applyAlignment="1">
      <alignment horizontal="center" vertical="center"/>
    </xf>
    <xf numFmtId="0" fontId="15" fillId="7" borderId="15" xfId="0" applyFont="1" applyFill="1" applyBorder="1" applyAlignment="1">
      <alignment horizontal="center" vertical="center"/>
    </xf>
    <xf numFmtId="0" fontId="15" fillId="7" borderId="16"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9" xfId="0" applyFont="1" applyFill="1" applyBorder="1" applyAlignment="1">
      <alignment horizontal="center" vertical="center"/>
    </xf>
    <xf numFmtId="0" fontId="15" fillId="3" borderId="18"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7" xfId="0" applyFont="1" applyFill="1" applyBorder="1" applyAlignment="1">
      <alignment horizontal="center" vertical="center"/>
    </xf>
    <xf numFmtId="0" fontId="15" fillId="14" borderId="15" xfId="0" applyFont="1" applyFill="1" applyBorder="1" applyAlignment="1">
      <alignment horizontal="center" vertical="center"/>
    </xf>
    <xf numFmtId="0" fontId="15" fillId="14" borderId="16" xfId="0" applyFont="1" applyFill="1" applyBorder="1" applyAlignment="1">
      <alignment horizontal="center" vertical="center"/>
    </xf>
    <xf numFmtId="0" fontId="15" fillId="14" borderId="17" xfId="0" applyFont="1" applyFill="1" applyBorder="1" applyAlignment="1">
      <alignment horizontal="center" vertical="center"/>
    </xf>
    <xf numFmtId="0" fontId="19" fillId="3" borderId="18" xfId="0" applyFont="1" applyFill="1" applyBorder="1" applyAlignment="1">
      <alignment horizontal="center" vertical="center"/>
    </xf>
    <xf numFmtId="0" fontId="19" fillId="3" borderId="20" xfId="0" applyFont="1" applyFill="1" applyBorder="1" applyAlignment="1">
      <alignment horizontal="center" vertical="center"/>
    </xf>
    <xf numFmtId="0" fontId="19" fillId="10" borderId="5" xfId="0" applyFont="1" applyFill="1" applyBorder="1" applyAlignment="1">
      <alignment horizontal="center" vertical="center"/>
    </xf>
    <xf numFmtId="0" fontId="19" fillId="11" borderId="5" xfId="0" applyFont="1" applyFill="1" applyBorder="1" applyAlignment="1">
      <alignment horizontal="center" vertical="center"/>
    </xf>
    <xf numFmtId="0" fontId="19" fillId="13" borderId="5" xfId="0" applyFont="1" applyFill="1" applyBorder="1" applyAlignment="1">
      <alignment horizontal="center" vertical="center"/>
    </xf>
    <xf numFmtId="0" fontId="19" fillId="8" borderId="8" xfId="0" applyFont="1" applyFill="1" applyBorder="1" applyAlignment="1">
      <alignment horizontal="center" vertical="center"/>
    </xf>
    <xf numFmtId="0" fontId="15" fillId="0" borderId="2" xfId="0" applyFont="1" applyBorder="1" applyAlignment="1">
      <alignment horizontal="center" vertical="center"/>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5" fillId="4" borderId="27"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164" fontId="15" fillId="0" borderId="2" xfId="0" applyNumberFormat="1" applyFont="1" applyBorder="1" applyAlignment="1">
      <alignment horizontal="center" vertical="center"/>
    </xf>
    <xf numFmtId="164" fontId="15" fillId="0" borderId="4" xfId="0" applyNumberFormat="1" applyFont="1" applyBorder="1" applyAlignment="1">
      <alignment horizontal="center" vertical="center"/>
    </xf>
    <xf numFmtId="164" fontId="15" fillId="0" borderId="5" xfId="0" applyNumberFormat="1" applyFont="1" applyBorder="1" applyAlignment="1">
      <alignment horizontal="center" vertical="center"/>
    </xf>
    <xf numFmtId="164" fontId="15" fillId="0" borderId="7" xfId="0" applyNumberFormat="1" applyFont="1" applyBorder="1" applyAlignment="1">
      <alignment horizontal="center" vertical="center"/>
    </xf>
    <xf numFmtId="164" fontId="15" fillId="0" borderId="8" xfId="0" applyNumberFormat="1" applyFont="1" applyBorder="1" applyAlignment="1">
      <alignment horizontal="center" vertical="center"/>
    </xf>
    <xf numFmtId="164" fontId="15" fillId="0" borderId="10" xfId="0" applyNumberFormat="1" applyFont="1" applyBorder="1" applyAlignment="1">
      <alignment horizontal="center" vertical="center"/>
    </xf>
    <xf numFmtId="0" fontId="18" fillId="16" borderId="27" xfId="0" applyFont="1" applyFill="1" applyBorder="1" applyAlignment="1">
      <alignment horizontal="center" vertical="center"/>
    </xf>
    <xf numFmtId="0" fontId="18" fillId="17" borderId="24" xfId="0" applyFont="1" applyFill="1" applyBorder="1" applyAlignment="1">
      <alignment horizontal="center" vertical="center"/>
    </xf>
    <xf numFmtId="0" fontId="18" fillId="18" borderId="24" xfId="0" applyFont="1" applyFill="1" applyBorder="1" applyAlignment="1">
      <alignment horizontal="center" vertical="center"/>
    </xf>
    <xf numFmtId="0" fontId="18" fillId="18" borderId="25" xfId="0" applyFont="1" applyFill="1" applyBorder="1" applyAlignment="1">
      <alignment horizontal="center" vertical="center"/>
    </xf>
    <xf numFmtId="169" fontId="15" fillId="9" borderId="7" xfId="0" applyNumberFormat="1" applyFont="1" applyFill="1" applyBorder="1" applyAlignment="1">
      <alignment horizontal="center" vertical="center"/>
    </xf>
    <xf numFmtId="0" fontId="15" fillId="15" borderId="5" xfId="0" applyFont="1" applyFill="1" applyBorder="1" applyAlignment="1">
      <alignment horizontal="center" vertical="center"/>
    </xf>
    <xf numFmtId="0" fontId="15" fillId="15" borderId="8" xfId="0" applyFont="1" applyFill="1" applyBorder="1" applyAlignment="1">
      <alignment horizontal="center" vertical="center"/>
    </xf>
    <xf numFmtId="0" fontId="19" fillId="3" borderId="34" xfId="0" applyFont="1" applyFill="1" applyBorder="1" applyAlignment="1">
      <alignment horizontal="center" vertical="center"/>
    </xf>
    <xf numFmtId="0" fontId="19" fillId="6" borderId="24" xfId="0" applyFont="1" applyFill="1" applyBorder="1" applyAlignment="1">
      <alignment horizontal="center" vertical="center"/>
    </xf>
    <xf numFmtId="0" fontId="19" fillId="3" borderId="24" xfId="0" applyFont="1" applyFill="1" applyBorder="1" applyAlignment="1">
      <alignment horizontal="center" vertical="center"/>
    </xf>
    <xf numFmtId="0" fontId="19" fillId="14" borderId="24" xfId="0" applyFont="1" applyFill="1" applyBorder="1" applyAlignment="1">
      <alignment horizontal="center" vertical="center"/>
    </xf>
    <xf numFmtId="0" fontId="19" fillId="7" borderId="25" xfId="0" applyFont="1" applyFill="1" applyBorder="1" applyAlignment="1">
      <alignment horizontal="center" vertical="center"/>
    </xf>
    <xf numFmtId="0" fontId="15" fillId="2" borderId="8" xfId="0" applyFont="1" applyFill="1" applyBorder="1" applyAlignment="1">
      <alignment horizontal="center" vertical="center"/>
    </xf>
    <xf numFmtId="0" fontId="15" fillId="3" borderId="34" xfId="0" applyFont="1" applyFill="1" applyBorder="1" applyAlignment="1">
      <alignment horizontal="center" vertical="center"/>
    </xf>
    <xf numFmtId="0" fontId="15" fillId="2" borderId="25" xfId="0" applyFont="1" applyFill="1" applyBorder="1" applyAlignment="1">
      <alignment horizontal="center" vertical="center"/>
    </xf>
    <xf numFmtId="0" fontId="19" fillId="11" borderId="2" xfId="0" applyFont="1" applyFill="1" applyBorder="1" applyAlignment="1">
      <alignment horizontal="center" vertical="center"/>
    </xf>
    <xf numFmtId="0" fontId="19" fillId="3" borderId="27" xfId="0" applyFont="1" applyFill="1" applyBorder="1" applyAlignment="1">
      <alignment horizontal="center" vertical="center"/>
    </xf>
    <xf numFmtId="0" fontId="19" fillId="11" borderId="8" xfId="0" applyFont="1" applyFill="1" applyBorder="1" applyAlignment="1">
      <alignment horizontal="center" vertical="center"/>
    </xf>
    <xf numFmtId="0" fontId="19" fillId="3" borderId="25" xfId="0" applyFont="1" applyFill="1" applyBorder="1" applyAlignment="1">
      <alignment horizontal="center" vertical="center"/>
    </xf>
    <xf numFmtId="0" fontId="19" fillId="13" borderId="2" xfId="0" applyFont="1" applyFill="1" applyBorder="1" applyAlignment="1">
      <alignment horizontal="center" vertical="center"/>
    </xf>
    <xf numFmtId="0" fontId="19" fillId="14" borderId="27" xfId="0" applyFont="1" applyFill="1" applyBorder="1" applyAlignment="1">
      <alignment horizontal="center" vertical="center"/>
    </xf>
    <xf numFmtId="0" fontId="19" fillId="13" borderId="8" xfId="0" applyFont="1" applyFill="1" applyBorder="1" applyAlignment="1">
      <alignment horizontal="center" vertical="center"/>
    </xf>
    <xf numFmtId="0" fontId="19" fillId="14" borderId="25" xfId="0" applyFont="1" applyFill="1" applyBorder="1" applyAlignment="1">
      <alignment horizontal="center" vertical="center"/>
    </xf>
    <xf numFmtId="0" fontId="19" fillId="8" borderId="2" xfId="0" applyFont="1" applyFill="1" applyBorder="1" applyAlignment="1">
      <alignment horizontal="center" vertical="center"/>
    </xf>
    <xf numFmtId="0" fontId="19" fillId="7" borderId="27" xfId="0" applyFont="1" applyFill="1" applyBorder="1" applyAlignment="1">
      <alignment horizontal="center" vertical="center"/>
    </xf>
    <xf numFmtId="0" fontId="19" fillId="8" borderId="35" xfId="0" applyFont="1" applyFill="1" applyBorder="1" applyAlignment="1">
      <alignment horizontal="center" vertical="center"/>
    </xf>
    <xf numFmtId="0" fontId="19" fillId="7" borderId="36" xfId="0" applyFont="1" applyFill="1" applyBorder="1" applyAlignment="1">
      <alignment horizontal="center" vertical="center"/>
    </xf>
    <xf numFmtId="0" fontId="15" fillId="4" borderId="35" xfId="0" applyFont="1" applyFill="1" applyBorder="1" applyAlignment="1">
      <alignment horizontal="center" vertical="center"/>
    </xf>
    <xf numFmtId="0" fontId="15" fillId="4" borderId="37" xfId="0" applyFont="1" applyFill="1" applyBorder="1" applyAlignment="1">
      <alignment horizontal="center" vertical="center"/>
    </xf>
    <xf numFmtId="2" fontId="15" fillId="12" borderId="2" xfId="0" applyNumberFormat="1" applyFont="1" applyFill="1" applyBorder="1" applyAlignment="1">
      <alignment horizontal="center" vertical="center"/>
    </xf>
    <xf numFmtId="2" fontId="15" fillId="12" borderId="4" xfId="0" applyNumberFormat="1" applyFont="1" applyFill="1" applyBorder="1" applyAlignment="1">
      <alignment horizontal="center" vertical="center"/>
    </xf>
    <xf numFmtId="0" fontId="15" fillId="4" borderId="6" xfId="0" applyFont="1" applyFill="1" applyBorder="1" applyAlignment="1">
      <alignment horizontal="center" vertical="center"/>
    </xf>
    <xf numFmtId="0" fontId="15" fillId="15" borderId="23" xfId="0" applyFont="1" applyFill="1" applyBorder="1" applyAlignment="1">
      <alignment horizontal="center" vertical="center"/>
    </xf>
    <xf numFmtId="0" fontId="15" fillId="15" borderId="26" xfId="0" applyFont="1" applyFill="1" applyBorder="1" applyAlignment="1">
      <alignment horizontal="center" vertical="center"/>
    </xf>
    <xf numFmtId="0" fontId="15" fillId="15" borderId="16" xfId="0" applyFont="1" applyFill="1" applyBorder="1" applyAlignment="1">
      <alignment horizontal="center" vertical="center"/>
    </xf>
    <xf numFmtId="0" fontId="15" fillId="15" borderId="17" xfId="0" applyFont="1" applyFill="1" applyBorder="1" applyAlignment="1">
      <alignment horizontal="center" vertical="center"/>
    </xf>
    <xf numFmtId="0" fontId="14" fillId="0" borderId="14" xfId="0" applyFont="1" applyBorder="1" applyAlignment="1">
      <alignment horizontal="center" vertical="center"/>
    </xf>
    <xf numFmtId="0" fontId="15" fillId="0" borderId="0" xfId="0" applyFont="1" applyAlignment="1">
      <alignment horizontal="center" vertical="center"/>
    </xf>
    <xf numFmtId="0" fontId="15" fillId="19" borderId="0" xfId="0" applyFont="1" applyFill="1" applyAlignment="1">
      <alignment horizontal="center" vertical="center"/>
    </xf>
    <xf numFmtId="0" fontId="14" fillId="2" borderId="0" xfId="0" applyFont="1" applyFill="1" applyAlignment="1">
      <alignment horizontal="center" vertical="center"/>
    </xf>
    <xf numFmtId="0" fontId="20" fillId="0" borderId="0" xfId="0" applyFont="1" applyAlignment="1">
      <alignment horizontal="center" vertical="center"/>
    </xf>
    <xf numFmtId="0" fontId="19" fillId="3" borderId="35" xfId="0" applyFont="1" applyFill="1" applyBorder="1" applyAlignment="1">
      <alignment horizontal="center" vertical="center"/>
    </xf>
    <xf numFmtId="0" fontId="19" fillId="3" borderId="37" xfId="0" applyFont="1" applyFill="1" applyBorder="1" applyAlignment="1">
      <alignment horizontal="center" vertical="center"/>
    </xf>
    <xf numFmtId="0" fontId="2" fillId="2" borderId="11" xfId="0" applyFont="1" applyFill="1" applyBorder="1" applyAlignment="1" applyProtection="1">
      <alignment horizontal="center" vertical="center" wrapText="1"/>
      <protection locked="0"/>
    </xf>
    <xf numFmtId="0" fontId="2" fillId="2" borderId="12" xfId="0" applyFont="1" applyFill="1" applyBorder="1" applyAlignment="1" applyProtection="1">
      <alignment horizontal="center" vertical="center" wrapText="1"/>
      <protection locked="0"/>
    </xf>
    <xf numFmtId="0" fontId="2" fillId="2" borderId="13"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wrapText="1"/>
      <protection locked="0"/>
    </xf>
    <xf numFmtId="0" fontId="2" fillId="2" borderId="29"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1" fillId="2" borderId="27"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0" fillId="2" borderId="24" xfId="0" quotePrefix="1" applyFill="1" applyBorder="1" applyAlignment="1" applyProtection="1">
      <alignment horizontal="center" vertical="center"/>
      <protection locked="0"/>
    </xf>
    <xf numFmtId="0" fontId="0" fillId="2" borderId="23" xfId="0" quotePrefix="1" applyFill="1" applyBorder="1" applyAlignment="1" applyProtection="1">
      <alignment horizontal="center" vertical="center"/>
      <protection locked="0"/>
    </xf>
    <xf numFmtId="0" fontId="0" fillId="2" borderId="25" xfId="0" quotePrefix="1" applyFill="1" applyBorder="1" applyAlignment="1" applyProtection="1">
      <alignment horizontal="center" vertical="center"/>
      <protection locked="0"/>
    </xf>
    <xf numFmtId="0" fontId="0" fillId="2" borderId="26" xfId="0" quotePrefix="1" applyFill="1" applyBorder="1" applyAlignment="1" applyProtection="1">
      <alignment horizontal="center" vertical="center"/>
      <protection locked="0"/>
    </xf>
    <xf numFmtId="0" fontId="4" fillId="2" borderId="0" xfId="0" applyFont="1" applyFill="1" applyAlignment="1">
      <alignment horizontal="center"/>
    </xf>
  </cellXfs>
  <cellStyles count="1">
    <cellStyle name="Normal" xfId="0" builtinId="0"/>
  </cellStyles>
  <dxfs count="13">
    <dxf>
      <font>
        <color rgb="FF9C0006"/>
      </font>
      <fill>
        <patternFill>
          <bgColor rgb="FFFFC7CE"/>
        </patternFill>
      </fill>
    </dxf>
    <dxf>
      <fill>
        <patternFill>
          <bgColor theme="5"/>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b val="0"/>
        <i val="0"/>
        <color theme="0"/>
      </font>
      <fill>
        <patternFill>
          <bgColor rgb="FFFF0000"/>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ejandro Minero" id="{4C43D0FA-0471-49D0-B3F7-260F17C8CF5E}" userId="Alejandro Minero" providerId="None"/>
  <person displayName="BigPC_User_06-10" id="{7645D3E2-61A7-47EE-86C2-98326119EDAB}" userId="S::BigPC_User_06-10@moellerpoeller.co.uk::2acf002a-486b-4190-99ba-8d2d243fd4e7" providerId="AD"/>
</personList>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6" dT="2023-11-16T11:43:27.65" personId="{7645D3E2-61A7-47EE-86C2-98326119EDAB}" id="{C698EBFC-7F1A-4130-AB51-CF516D73A2FC}">
    <text>R+</text>
  </threadedComment>
  <threadedComment ref="B27" dT="2023-11-16T11:43:36.49" personId="{7645D3E2-61A7-47EE-86C2-98326119EDAB}" id="{4400D75F-EDF9-46DC-9CA6-FE72702B4A7E}">
    <text>X+</text>
  </threadedComment>
  <threadedComment ref="B28" dT="2023-11-16T11:43:43.08" personId="{7645D3E2-61A7-47EE-86C2-98326119EDAB}" id="{5DDB25AA-F796-4E33-AA2B-98014D1C8B39}">
    <text>R0</text>
  </threadedComment>
  <threadedComment ref="B29" dT="2023-11-16T11:43:49.23" personId="{7645D3E2-61A7-47EE-86C2-98326119EDAB}" id="{514D3AF3-D319-43D7-A9E2-567BA67814A2}">
    <text>X0</text>
  </threadedComment>
</ThreadedComments>
</file>

<file path=xl/threadedComments/threadedComment2.xml><?xml version="1.0" encoding="utf-8"?>
<ThreadedComments xmlns="http://schemas.microsoft.com/office/spreadsheetml/2018/threadedcomments" xmlns:x="http://schemas.openxmlformats.org/spreadsheetml/2006/main">
  <threadedComment ref="F6" dT="2024-11-13T14:18:00.03" personId="{4C43D0FA-0471-49D0-B3F7-260F17C8CF5E}" id="{BCA55330-0DA1-45F0-9C6B-C07494C29A54}">
    <text>Calculated with FP</text>
  </threadedComment>
  <threadedComment ref="F22" dT="2024-11-13T14:18:29.42" personId="{4C43D0FA-0471-49D0-B3F7-260F17C8CF5E}" id="{7A24FDEC-76DA-4356-B821-EAB04EA6FDAF}">
    <text>Calculated with FP</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BA96-B48C-4730-9E40-84AEA0E60810}">
  <sheetPr codeName="Sheet1"/>
  <dimension ref="A1:L31"/>
  <sheetViews>
    <sheetView workbookViewId="0"/>
  </sheetViews>
  <sheetFormatPr defaultColWidth="8.796875" defaultRowHeight="14.25" x14ac:dyDescent="0.45"/>
  <cols>
    <col min="1" max="1" width="24.46484375" style="2" customWidth="1"/>
    <col min="2" max="16384" width="8.796875" style="1"/>
  </cols>
  <sheetData>
    <row r="1" spans="1:12" ht="23.25" x14ac:dyDescent="0.7">
      <c r="B1" s="184" t="s">
        <v>16</v>
      </c>
      <c r="C1" s="184"/>
      <c r="D1" s="184"/>
      <c r="E1" s="184"/>
      <c r="F1" s="184"/>
      <c r="G1" s="184"/>
      <c r="H1" s="184"/>
      <c r="I1" s="184"/>
      <c r="J1" s="184"/>
      <c r="K1" s="184"/>
      <c r="L1" s="184"/>
    </row>
    <row r="2" spans="1:12" x14ac:dyDescent="0.45">
      <c r="A2" s="2" t="s">
        <v>92</v>
      </c>
    </row>
    <row r="3" spans="1:12" x14ac:dyDescent="0.45">
      <c r="A3" s="2" t="s">
        <v>93</v>
      </c>
    </row>
    <row r="4" spans="1:12" x14ac:dyDescent="0.45">
      <c r="A4" s="2" t="s">
        <v>94</v>
      </c>
    </row>
    <row r="5" spans="1:12" x14ac:dyDescent="0.45">
      <c r="A5" s="2" t="s">
        <v>99</v>
      </c>
    </row>
    <row r="8" spans="1:12" x14ac:dyDescent="0.45">
      <c r="A8" s="2" t="s">
        <v>112</v>
      </c>
    </row>
    <row r="9" spans="1:12" x14ac:dyDescent="0.45">
      <c r="A9" s="2" t="s">
        <v>141</v>
      </c>
    </row>
    <row r="10" spans="1:12" x14ac:dyDescent="0.45">
      <c r="A10" s="2" t="s">
        <v>142</v>
      </c>
    </row>
    <row r="11" spans="1:12" x14ac:dyDescent="0.45">
      <c r="A11" s="2" t="s">
        <v>144</v>
      </c>
    </row>
    <row r="14" spans="1:12" x14ac:dyDescent="0.45">
      <c r="A14" s="2" t="s">
        <v>45</v>
      </c>
    </row>
    <row r="15" spans="1:12" x14ac:dyDescent="0.45">
      <c r="A15" s="2" t="s">
        <v>46</v>
      </c>
    </row>
    <row r="26" spans="1:1" x14ac:dyDescent="0.45">
      <c r="A26" s="2" t="s">
        <v>52</v>
      </c>
    </row>
    <row r="27" spans="1:1" x14ac:dyDescent="0.45">
      <c r="A27" s="2" t="s">
        <v>53</v>
      </c>
    </row>
    <row r="28" spans="1:1" x14ac:dyDescent="0.45">
      <c r="A28" s="2" t="s">
        <v>54</v>
      </c>
    </row>
    <row r="29" spans="1:1" x14ac:dyDescent="0.45">
      <c r="A29" s="2" t="s">
        <v>55</v>
      </c>
    </row>
    <row r="30" spans="1:1" x14ac:dyDescent="0.45">
      <c r="A30" s="2" t="s">
        <v>56</v>
      </c>
    </row>
    <row r="31" spans="1:1" x14ac:dyDescent="0.45">
      <c r="A31" s="2" t="s">
        <v>57</v>
      </c>
    </row>
  </sheetData>
  <mergeCells count="1">
    <mergeCell ref="B1:L1"/>
  </mergeCells>
  <pageMargins left="0.7" right="0.7" top="0.75" bottom="0.75" header="0.3" footer="0.3"/>
  <headerFooter>
    <oddHeader>&amp;R&amp;"Arial Black"&amp;10&amp;K4099DA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78"/>
  <sheetViews>
    <sheetView topLeftCell="A9" zoomScale="85" zoomScaleNormal="85" workbookViewId="0">
      <selection activeCell="B46" sqref="B46"/>
    </sheetView>
  </sheetViews>
  <sheetFormatPr defaultColWidth="8.796875" defaultRowHeight="14.25" x14ac:dyDescent="0.45"/>
  <cols>
    <col min="1" max="1" width="26.53125" style="17" customWidth="1"/>
    <col min="2" max="2" width="26.19921875" style="46" bestFit="1" customWidth="1"/>
    <col min="3" max="3" width="8.796875" style="17"/>
    <col min="4" max="4" width="140" style="46" customWidth="1"/>
    <col min="5" max="5" width="1.796875" style="17" customWidth="1"/>
    <col min="6" max="6" width="34.796875" style="17" customWidth="1"/>
    <col min="7" max="16384" width="8.796875" style="17"/>
  </cols>
  <sheetData>
    <row r="1" spans="1:6" ht="15" customHeight="1" x14ac:dyDescent="0.45">
      <c r="A1" s="31" t="s">
        <v>14</v>
      </c>
      <c r="B1" s="47" t="s">
        <v>1</v>
      </c>
      <c r="C1" s="5" t="s">
        <v>2</v>
      </c>
      <c r="D1" s="33" t="s">
        <v>3</v>
      </c>
      <c r="F1" s="174" t="s">
        <v>49</v>
      </c>
    </row>
    <row r="2" spans="1:6" ht="15" customHeight="1" x14ac:dyDescent="0.45">
      <c r="A2" s="29" t="s">
        <v>192</v>
      </c>
      <c r="B2" s="48" t="s">
        <v>46</v>
      </c>
      <c r="C2" s="9" t="s">
        <v>9</v>
      </c>
      <c r="D2" s="32" t="s">
        <v>191</v>
      </c>
      <c r="F2" s="175"/>
    </row>
    <row r="3" spans="1:6" ht="15" customHeight="1" x14ac:dyDescent="0.45">
      <c r="A3" s="29" t="s">
        <v>114</v>
      </c>
      <c r="B3" s="48" t="s">
        <v>46</v>
      </c>
      <c r="C3" s="9" t="s">
        <v>9</v>
      </c>
      <c r="D3" s="32" t="s">
        <v>115</v>
      </c>
      <c r="F3" s="176"/>
    </row>
    <row r="4" spans="1:6" x14ac:dyDescent="0.45">
      <c r="A4" s="29" t="s">
        <v>111</v>
      </c>
      <c r="B4" s="49" t="s">
        <v>93</v>
      </c>
      <c r="C4" s="7" t="s">
        <v>9</v>
      </c>
      <c r="D4" s="34" t="s">
        <v>143</v>
      </c>
      <c r="F4" s="176"/>
    </row>
    <row r="5" spans="1:6" x14ac:dyDescent="0.45">
      <c r="A5" s="29" t="s">
        <v>95</v>
      </c>
      <c r="B5" s="49" t="s">
        <v>112</v>
      </c>
      <c r="C5" s="7" t="s">
        <v>9</v>
      </c>
      <c r="D5" s="34" t="s">
        <v>110</v>
      </c>
      <c r="F5" s="176"/>
    </row>
    <row r="6" spans="1:6" x14ac:dyDescent="0.45">
      <c r="A6" s="29" t="s">
        <v>96</v>
      </c>
      <c r="B6" s="48" t="s">
        <v>46</v>
      </c>
      <c r="C6" s="7" t="s">
        <v>9</v>
      </c>
      <c r="D6" s="34" t="s">
        <v>145</v>
      </c>
      <c r="F6" s="176"/>
    </row>
    <row r="7" spans="1:6" ht="14.65" thickBot="1" x14ac:dyDescent="0.5">
      <c r="A7" s="30" t="s">
        <v>98</v>
      </c>
      <c r="B7" s="50" t="s">
        <v>46</v>
      </c>
      <c r="C7" s="24" t="s">
        <v>9</v>
      </c>
      <c r="D7" s="35" t="s">
        <v>97</v>
      </c>
      <c r="F7" s="177"/>
    </row>
    <row r="8" spans="1:6" s="8" customFormat="1" ht="14.65" thickBot="1" x14ac:dyDescent="0.5">
      <c r="A8" s="21" t="s">
        <v>59</v>
      </c>
      <c r="B8" s="51"/>
      <c r="C8" s="22"/>
      <c r="D8" s="36"/>
      <c r="F8" s="23"/>
    </row>
    <row r="9" spans="1:6" x14ac:dyDescent="0.45">
      <c r="A9" s="5" t="s">
        <v>0</v>
      </c>
      <c r="B9" s="47" t="s">
        <v>1</v>
      </c>
      <c r="C9" s="178" t="s">
        <v>3</v>
      </c>
      <c r="D9" s="179"/>
      <c r="F9" s="3"/>
    </row>
    <row r="10" spans="1:6" x14ac:dyDescent="0.45">
      <c r="A10" s="6" t="s">
        <v>62</v>
      </c>
      <c r="B10" s="48"/>
      <c r="C10" s="180" t="s">
        <v>61</v>
      </c>
      <c r="D10" s="181"/>
      <c r="F10" s="3"/>
    </row>
    <row r="11" spans="1:6" x14ac:dyDescent="0.45">
      <c r="A11" s="6" t="s">
        <v>60</v>
      </c>
      <c r="B11" s="48"/>
      <c r="C11" s="180" t="s">
        <v>154</v>
      </c>
      <c r="D11" s="181"/>
      <c r="F11" s="3"/>
    </row>
    <row r="12" spans="1:6" x14ac:dyDescent="0.45">
      <c r="A12" s="6" t="s">
        <v>63</v>
      </c>
      <c r="B12" s="48"/>
      <c r="C12" s="180" t="s">
        <v>156</v>
      </c>
      <c r="D12" s="181"/>
      <c r="F12" s="3"/>
    </row>
    <row r="13" spans="1:6" ht="14.65" thickBot="1" x14ac:dyDescent="0.5">
      <c r="A13" s="10" t="s">
        <v>64</v>
      </c>
      <c r="B13" s="50"/>
      <c r="C13" s="182" t="s">
        <v>155</v>
      </c>
      <c r="D13" s="183"/>
      <c r="F13" s="3"/>
    </row>
    <row r="14" spans="1:6" s="8" customFormat="1" ht="14.65" thickBot="1" x14ac:dyDescent="0.5">
      <c r="A14" s="19" t="s">
        <v>89</v>
      </c>
      <c r="B14" s="37"/>
      <c r="C14" s="19"/>
      <c r="D14" s="37"/>
    </row>
    <row r="15" spans="1:6" ht="14.25" customHeight="1" x14ac:dyDescent="0.45">
      <c r="A15" s="5" t="s">
        <v>0</v>
      </c>
      <c r="B15" s="47" t="s">
        <v>1</v>
      </c>
      <c r="C15" s="5" t="s">
        <v>2</v>
      </c>
      <c r="D15" s="33" t="s">
        <v>3</v>
      </c>
      <c r="F15" s="171" t="s">
        <v>13</v>
      </c>
    </row>
    <row r="16" spans="1:6" x14ac:dyDescent="0.45">
      <c r="A16" s="6" t="s">
        <v>117</v>
      </c>
      <c r="B16" s="52">
        <v>60</v>
      </c>
      <c r="C16" s="6" t="s">
        <v>70</v>
      </c>
      <c r="D16" s="34" t="s">
        <v>118</v>
      </c>
      <c r="F16" s="172"/>
    </row>
    <row r="17" spans="1:6" x14ac:dyDescent="0.45">
      <c r="A17" s="6" t="s">
        <v>101</v>
      </c>
      <c r="B17" s="52">
        <v>2.0099999999999998</v>
      </c>
      <c r="C17" s="6" t="s">
        <v>4</v>
      </c>
      <c r="D17" s="34" t="s">
        <v>5</v>
      </c>
      <c r="F17" s="172"/>
    </row>
    <row r="18" spans="1:6" x14ac:dyDescent="0.45">
      <c r="A18" s="6" t="s">
        <v>100</v>
      </c>
      <c r="B18" s="52">
        <v>2</v>
      </c>
      <c r="C18" s="6" t="s">
        <v>6</v>
      </c>
      <c r="D18" s="34" t="s">
        <v>105</v>
      </c>
      <c r="F18" s="172"/>
    </row>
    <row r="19" spans="1:6" x14ac:dyDescent="0.45">
      <c r="A19" s="6" t="s">
        <v>152</v>
      </c>
      <c r="B19" s="52">
        <v>20</v>
      </c>
      <c r="C19" s="6" t="s">
        <v>6</v>
      </c>
      <c r="D19" s="34" t="s">
        <v>104</v>
      </c>
      <c r="F19" s="172"/>
    </row>
    <row r="20" spans="1:6" x14ac:dyDescent="0.45">
      <c r="A20" s="6" t="s">
        <v>158</v>
      </c>
      <c r="B20" s="53" t="s">
        <v>45</v>
      </c>
      <c r="C20" s="6" t="s">
        <v>9</v>
      </c>
      <c r="D20" s="32" t="s">
        <v>160</v>
      </c>
      <c r="F20" s="172"/>
    </row>
    <row r="21" spans="1:6" ht="28.5" x14ac:dyDescent="0.45">
      <c r="A21" s="6" t="s">
        <v>113</v>
      </c>
      <c r="B21" s="53" t="s">
        <v>45</v>
      </c>
      <c r="C21" s="6" t="s">
        <v>9</v>
      </c>
      <c r="D21" s="32" t="s">
        <v>161</v>
      </c>
      <c r="F21" s="172"/>
    </row>
    <row r="22" spans="1:6" x14ac:dyDescent="0.45">
      <c r="A22" s="6" t="s">
        <v>189</v>
      </c>
      <c r="B22" s="53" t="s">
        <v>46</v>
      </c>
      <c r="C22" s="6" t="s">
        <v>9</v>
      </c>
      <c r="D22" s="32" t="s">
        <v>190</v>
      </c>
      <c r="F22" s="172"/>
    </row>
    <row r="23" spans="1:6" x14ac:dyDescent="0.45">
      <c r="A23" s="6" t="s">
        <v>106</v>
      </c>
      <c r="B23" s="54">
        <v>2</v>
      </c>
      <c r="C23" s="6" t="s">
        <v>8</v>
      </c>
      <c r="D23" s="34" t="s">
        <v>159</v>
      </c>
      <c r="F23" s="172"/>
    </row>
    <row r="24" spans="1:6" x14ac:dyDescent="0.45">
      <c r="A24" s="6" t="s">
        <v>107</v>
      </c>
      <c r="B24" s="54" t="s">
        <v>46</v>
      </c>
      <c r="C24" s="6" t="s">
        <v>9</v>
      </c>
      <c r="D24" s="34" t="s">
        <v>91</v>
      </c>
      <c r="F24" s="172"/>
    </row>
    <row r="25" spans="1:6" x14ac:dyDescent="0.45">
      <c r="A25" s="6" t="s">
        <v>108</v>
      </c>
      <c r="B25" s="52" t="s">
        <v>217</v>
      </c>
      <c r="C25" s="6" t="s">
        <v>9</v>
      </c>
      <c r="D25" s="34" t="s">
        <v>66</v>
      </c>
      <c r="F25" s="172"/>
    </row>
    <row r="26" spans="1:6" x14ac:dyDescent="0.45">
      <c r="A26" s="6" t="s">
        <v>109</v>
      </c>
      <c r="B26" s="52"/>
      <c r="C26" s="6" t="s">
        <v>9</v>
      </c>
      <c r="D26" s="34" t="s">
        <v>65</v>
      </c>
      <c r="F26" s="172"/>
    </row>
    <row r="27" spans="1:6" x14ac:dyDescent="0.45">
      <c r="A27" s="6" t="s">
        <v>58</v>
      </c>
      <c r="B27" s="55" t="s">
        <v>56</v>
      </c>
      <c r="C27" s="6" t="s">
        <v>9</v>
      </c>
      <c r="D27" s="34" t="s">
        <v>10</v>
      </c>
      <c r="F27" s="172"/>
    </row>
    <row r="28" spans="1:6" x14ac:dyDescent="0.45">
      <c r="A28" s="6" t="s">
        <v>11</v>
      </c>
      <c r="B28" s="52">
        <v>3</v>
      </c>
      <c r="C28" s="6" t="s">
        <v>7</v>
      </c>
      <c r="D28" s="34" t="s">
        <v>12</v>
      </c>
      <c r="F28" s="172"/>
    </row>
    <row r="29" spans="1:6" ht="14.65" thickBot="1" x14ac:dyDescent="0.5">
      <c r="A29" s="10" t="s">
        <v>51</v>
      </c>
      <c r="B29" s="56">
        <v>4</v>
      </c>
      <c r="C29" s="10" t="s">
        <v>7</v>
      </c>
      <c r="D29" s="35" t="s">
        <v>12</v>
      </c>
      <c r="F29" s="173"/>
    </row>
    <row r="30" spans="1:6" s="8" customFormat="1" ht="14.65" thickBot="1" x14ac:dyDescent="0.5">
      <c r="A30" s="21" t="s">
        <v>67</v>
      </c>
      <c r="B30" s="51"/>
      <c r="C30" s="22"/>
      <c r="D30" s="36"/>
      <c r="F30" s="23"/>
    </row>
    <row r="31" spans="1:6" x14ac:dyDescent="0.45">
      <c r="A31" s="5" t="s">
        <v>0</v>
      </c>
      <c r="B31" s="47" t="s">
        <v>1</v>
      </c>
      <c r="C31" s="178" t="s">
        <v>3</v>
      </c>
      <c r="D31" s="179"/>
      <c r="F31" s="171" t="s">
        <v>120</v>
      </c>
    </row>
    <row r="32" spans="1:6" ht="14.65" thickBot="1" x14ac:dyDescent="0.5">
      <c r="A32" s="10" t="s">
        <v>68</v>
      </c>
      <c r="B32" s="50"/>
      <c r="C32" s="24" t="s">
        <v>125</v>
      </c>
      <c r="D32" s="38" t="s">
        <v>126</v>
      </c>
      <c r="F32" s="173"/>
    </row>
    <row r="33" spans="1:8" s="8" customFormat="1" ht="14.65" thickBot="1" x14ac:dyDescent="0.5">
      <c r="A33" s="19" t="s">
        <v>90</v>
      </c>
      <c r="B33" s="37"/>
      <c r="C33" s="19"/>
      <c r="D33" s="37"/>
    </row>
    <row r="34" spans="1:8" x14ac:dyDescent="0.45">
      <c r="A34" s="11" t="s">
        <v>0</v>
      </c>
      <c r="B34" s="57" t="s">
        <v>1</v>
      </c>
      <c r="C34" s="11" t="s">
        <v>2</v>
      </c>
      <c r="D34" s="39" t="s">
        <v>3</v>
      </c>
      <c r="F34" s="171" t="s">
        <v>20</v>
      </c>
    </row>
    <row r="35" spans="1:8" ht="14.65" thickBot="1" x14ac:dyDescent="0.5">
      <c r="A35" s="6" t="s">
        <v>102</v>
      </c>
      <c r="B35" s="52">
        <v>1</v>
      </c>
      <c r="C35" s="6" t="s">
        <v>4</v>
      </c>
      <c r="D35" s="34" t="s">
        <v>103</v>
      </c>
      <c r="F35" s="173"/>
    </row>
    <row r="36" spans="1:8" s="8" customFormat="1" ht="14.65" thickBot="1" x14ac:dyDescent="0.5">
      <c r="A36" s="19" t="s">
        <v>116</v>
      </c>
      <c r="B36" s="37"/>
      <c r="C36" s="19"/>
      <c r="D36" s="37"/>
    </row>
    <row r="37" spans="1:8" ht="14.75" customHeight="1" x14ac:dyDescent="0.45">
      <c r="A37" s="28" t="s">
        <v>0</v>
      </c>
      <c r="B37" s="57" t="s">
        <v>1</v>
      </c>
      <c r="C37" s="11" t="s">
        <v>2</v>
      </c>
      <c r="D37" s="39" t="s">
        <v>3</v>
      </c>
      <c r="F37" s="171" t="s">
        <v>123</v>
      </c>
    </row>
    <row r="38" spans="1:8" x14ac:dyDescent="0.45">
      <c r="A38" s="29" t="s">
        <v>137</v>
      </c>
      <c r="B38" s="63">
        <v>1.1000000000000001</v>
      </c>
      <c r="C38" s="6" t="s">
        <v>8</v>
      </c>
      <c r="D38" s="34" t="s">
        <v>148</v>
      </c>
      <c r="F38" s="172"/>
    </row>
    <row r="39" spans="1:8" x14ac:dyDescent="0.45">
      <c r="A39" s="29" t="s">
        <v>135</v>
      </c>
      <c r="B39" s="52">
        <f>B44</f>
        <v>1.6666666666666668E-3</v>
      </c>
      <c r="C39" s="6" t="s">
        <v>8</v>
      </c>
      <c r="D39" s="34" t="s">
        <v>149</v>
      </c>
      <c r="F39" s="172"/>
    </row>
    <row r="40" spans="1:8" ht="14.65" thickBot="1" x14ac:dyDescent="0.5">
      <c r="A40" s="30" t="s">
        <v>151</v>
      </c>
      <c r="B40" s="64">
        <f>B38+19*B39</f>
        <v>1.1316666666666668</v>
      </c>
      <c r="C40" s="10" t="s">
        <v>8</v>
      </c>
      <c r="D40" s="35" t="s">
        <v>150</v>
      </c>
      <c r="F40" s="173"/>
    </row>
    <row r="41" spans="1:8" s="8" customFormat="1" ht="14.65" thickBot="1" x14ac:dyDescent="0.5">
      <c r="A41" s="19" t="s">
        <v>48</v>
      </c>
      <c r="B41" s="37"/>
      <c r="C41" s="19"/>
      <c r="D41" s="37"/>
    </row>
    <row r="42" spans="1:8" ht="14.75" customHeight="1" x14ac:dyDescent="0.45">
      <c r="A42" s="11" t="s">
        <v>0</v>
      </c>
      <c r="B42" s="57" t="s">
        <v>1</v>
      </c>
      <c r="C42" s="11" t="s">
        <v>2</v>
      </c>
      <c r="D42" s="39" t="s">
        <v>3</v>
      </c>
      <c r="F42" s="171" t="s">
        <v>121</v>
      </c>
    </row>
    <row r="43" spans="1:8" x14ac:dyDescent="0.45">
      <c r="A43" s="6" t="s">
        <v>17</v>
      </c>
      <c r="B43" s="63">
        <v>2.2000000000000002</v>
      </c>
      <c r="C43" s="6" t="s">
        <v>8</v>
      </c>
      <c r="D43" s="32" t="s">
        <v>133</v>
      </c>
      <c r="F43" s="172"/>
    </row>
    <row r="44" spans="1:8" x14ac:dyDescent="0.45">
      <c r="A44" s="6" t="s">
        <v>136</v>
      </c>
      <c r="B44" s="52">
        <f>1/(B16*10)</f>
        <v>1.6666666666666668E-3</v>
      </c>
      <c r="C44" s="6" t="s">
        <v>8</v>
      </c>
      <c r="D44" s="32" t="s">
        <v>134</v>
      </c>
      <c r="F44" s="172"/>
      <c r="H44" s="18"/>
    </row>
    <row r="45" spans="1:8" x14ac:dyDescent="0.45">
      <c r="A45" s="6" t="s">
        <v>18</v>
      </c>
      <c r="B45" s="63">
        <f>B43+9*B44</f>
        <v>2.2150000000000003</v>
      </c>
      <c r="C45" s="6" t="s">
        <v>8</v>
      </c>
      <c r="D45" s="34" t="s">
        <v>19</v>
      </c>
      <c r="F45" s="172"/>
    </row>
    <row r="46" spans="1:8" ht="14.65" thickBot="1" x14ac:dyDescent="0.5">
      <c r="A46" s="6" t="s">
        <v>146</v>
      </c>
      <c r="B46" s="63">
        <v>0.1</v>
      </c>
      <c r="C46" s="6" t="s">
        <v>8</v>
      </c>
      <c r="D46" s="34" t="s">
        <v>147</v>
      </c>
      <c r="F46" s="173"/>
    </row>
    <row r="47" spans="1:8" s="8" customFormat="1" ht="14.65" thickBot="1" x14ac:dyDescent="0.5">
      <c r="A47" s="19" t="s">
        <v>47</v>
      </c>
      <c r="B47" s="37"/>
      <c r="C47" s="19"/>
      <c r="D47" s="37"/>
      <c r="H47" s="20"/>
    </row>
    <row r="48" spans="1:8" x14ac:dyDescent="0.45">
      <c r="A48" s="11" t="s">
        <v>0</v>
      </c>
      <c r="B48" s="57" t="s">
        <v>1</v>
      </c>
      <c r="C48" s="11" t="s">
        <v>2</v>
      </c>
      <c r="D48" s="39" t="s">
        <v>3</v>
      </c>
      <c r="F48" s="171" t="s">
        <v>122</v>
      </c>
    </row>
    <row r="49" spans="1:6" x14ac:dyDescent="0.45">
      <c r="A49" s="6" t="s">
        <v>21</v>
      </c>
      <c r="B49" s="52">
        <v>5</v>
      </c>
      <c r="C49" s="6" t="s">
        <v>7</v>
      </c>
      <c r="D49" s="34" t="s">
        <v>22</v>
      </c>
      <c r="F49" s="172"/>
    </row>
    <row r="50" spans="1:6" x14ac:dyDescent="0.45">
      <c r="A50" s="6" t="s">
        <v>23</v>
      </c>
      <c r="B50" s="52">
        <v>5</v>
      </c>
      <c r="C50" s="6" t="s">
        <v>7</v>
      </c>
      <c r="D50" s="34" t="s">
        <v>24</v>
      </c>
      <c r="F50" s="172"/>
    </row>
    <row r="51" spans="1:6" x14ac:dyDescent="0.45">
      <c r="A51" s="6" t="s">
        <v>25</v>
      </c>
      <c r="B51" s="52">
        <v>4</v>
      </c>
      <c r="C51" s="6" t="s">
        <v>7</v>
      </c>
      <c r="D51" s="34" t="s">
        <v>26</v>
      </c>
      <c r="F51" s="172"/>
    </row>
    <row r="52" spans="1:6" x14ac:dyDescent="0.45">
      <c r="A52" s="6" t="s">
        <v>27</v>
      </c>
      <c r="B52" s="65">
        <v>2.0499999999999998</v>
      </c>
      <c r="C52" s="6" t="s">
        <v>8</v>
      </c>
      <c r="D52" s="34" t="s">
        <v>28</v>
      </c>
      <c r="F52" s="172"/>
    </row>
    <row r="53" spans="1:6" x14ac:dyDescent="0.45">
      <c r="A53" s="6" t="s">
        <v>29</v>
      </c>
      <c r="B53" s="67">
        <f>ROUND(B52+1/B16,6)</f>
        <v>2.0666669999999998</v>
      </c>
      <c r="C53" s="6" t="s">
        <v>8</v>
      </c>
      <c r="D53" s="34" t="s">
        <v>30</v>
      </c>
      <c r="F53" s="172"/>
    </row>
    <row r="54" spans="1:6" x14ac:dyDescent="0.45">
      <c r="A54" s="6" t="s">
        <v>31</v>
      </c>
      <c r="B54" s="66">
        <v>-3.0000000000000001E-3</v>
      </c>
      <c r="C54" s="6" t="s">
        <v>8</v>
      </c>
      <c r="D54" s="34" t="s">
        <v>165</v>
      </c>
      <c r="F54" s="172"/>
    </row>
    <row r="55" spans="1:6" x14ac:dyDescent="0.45">
      <c r="A55" s="6" t="s">
        <v>32</v>
      </c>
      <c r="B55" s="66">
        <v>3.0000000000000001E-3</v>
      </c>
      <c r="C55" s="6" t="s">
        <v>8</v>
      </c>
      <c r="D55" s="34" t="s">
        <v>162</v>
      </c>
      <c r="F55" s="172"/>
    </row>
    <row r="56" spans="1:6" x14ac:dyDescent="0.45">
      <c r="A56" s="6" t="s">
        <v>33</v>
      </c>
      <c r="B56" s="66">
        <v>-3.0000000000000001E-3</v>
      </c>
      <c r="C56" s="6" t="s">
        <v>8</v>
      </c>
      <c r="D56" s="34" t="s">
        <v>164</v>
      </c>
      <c r="F56" s="172"/>
    </row>
    <row r="57" spans="1:6" ht="14.65" thickBot="1" x14ac:dyDescent="0.5">
      <c r="A57" s="6" t="s">
        <v>34</v>
      </c>
      <c r="B57" s="66">
        <v>3.0000000000000001E-3</v>
      </c>
      <c r="C57" s="6" t="s">
        <v>8</v>
      </c>
      <c r="D57" s="34" t="s">
        <v>163</v>
      </c>
      <c r="F57" s="173"/>
    </row>
    <row r="58" spans="1:6" s="13" customFormat="1" ht="14.65" thickBot="1" x14ac:dyDescent="0.5">
      <c r="A58" s="12" t="s">
        <v>73</v>
      </c>
      <c r="B58" s="40"/>
      <c r="D58" s="40"/>
    </row>
    <row r="59" spans="1:6" s="14" customFormat="1" ht="14.25" customHeight="1" x14ac:dyDescent="0.45">
      <c r="A59" s="15" t="s">
        <v>0</v>
      </c>
      <c r="B59" s="58" t="s">
        <v>1</v>
      </c>
      <c r="C59" s="15" t="s">
        <v>2</v>
      </c>
      <c r="D59" s="41" t="s">
        <v>3</v>
      </c>
      <c r="F59" s="171" t="s">
        <v>124</v>
      </c>
    </row>
    <row r="60" spans="1:6" s="14" customFormat="1" x14ac:dyDescent="0.45">
      <c r="A60" s="4" t="s">
        <v>74</v>
      </c>
      <c r="B60" s="59">
        <v>0</v>
      </c>
      <c r="C60" s="4" t="s">
        <v>70</v>
      </c>
      <c r="D60" s="42" t="s">
        <v>75</v>
      </c>
      <c r="F60" s="172"/>
    </row>
    <row r="61" spans="1:6" s="14" customFormat="1" x14ac:dyDescent="0.45">
      <c r="A61" s="4" t="s">
        <v>76</v>
      </c>
      <c r="B61" s="59">
        <v>360</v>
      </c>
      <c r="C61" s="4" t="s">
        <v>70</v>
      </c>
      <c r="D61" s="42" t="s">
        <v>77</v>
      </c>
      <c r="F61" s="172"/>
    </row>
    <row r="62" spans="1:6" s="14" customFormat="1" x14ac:dyDescent="0.45">
      <c r="A62" s="4" t="s">
        <v>78</v>
      </c>
      <c r="B62" s="59">
        <v>2</v>
      </c>
      <c r="C62" s="4" t="s">
        <v>70</v>
      </c>
      <c r="D62" s="42" t="s">
        <v>79</v>
      </c>
      <c r="F62" s="172"/>
    </row>
    <row r="63" spans="1:6" s="14" customFormat="1" x14ac:dyDescent="0.45">
      <c r="A63" s="16" t="s">
        <v>80</v>
      </c>
      <c r="B63" s="53">
        <v>0</v>
      </c>
      <c r="C63" s="16" t="s">
        <v>7</v>
      </c>
      <c r="D63" s="43" t="s">
        <v>81</v>
      </c>
      <c r="F63" s="172"/>
    </row>
    <row r="64" spans="1:6" s="14" customFormat="1" x14ac:dyDescent="0.45">
      <c r="A64" s="16" t="s">
        <v>82</v>
      </c>
      <c r="B64" s="53">
        <v>0</v>
      </c>
      <c r="C64" s="16" t="s">
        <v>7</v>
      </c>
      <c r="D64" s="43" t="s">
        <v>83</v>
      </c>
      <c r="F64" s="172"/>
    </row>
    <row r="65" spans="1:6" s="14" customFormat="1" x14ac:dyDescent="0.45">
      <c r="A65" s="16" t="s">
        <v>84</v>
      </c>
      <c r="B65" s="53">
        <v>0</v>
      </c>
      <c r="C65" s="16" t="s">
        <v>70</v>
      </c>
      <c r="D65" s="43" t="s">
        <v>85</v>
      </c>
      <c r="F65" s="172"/>
    </row>
    <row r="66" spans="1:6" s="14" customFormat="1" ht="14.65" thickBot="1" x14ac:dyDescent="0.5">
      <c r="A66" s="27" t="s">
        <v>86</v>
      </c>
      <c r="B66" s="60">
        <v>1</v>
      </c>
      <c r="C66" s="27" t="s">
        <v>7</v>
      </c>
      <c r="D66" s="44" t="s">
        <v>87</v>
      </c>
      <c r="F66" s="173"/>
    </row>
    <row r="67" spans="1:6" s="14" customFormat="1" ht="14.65" thickBot="1" x14ac:dyDescent="0.5">
      <c r="A67" s="12" t="s">
        <v>127</v>
      </c>
      <c r="B67" s="61"/>
      <c r="C67" s="26"/>
      <c r="D67" s="45"/>
      <c r="F67" s="3"/>
    </row>
    <row r="68" spans="1:6" s="14" customFormat="1" ht="14.25" customHeight="1" x14ac:dyDescent="0.45">
      <c r="A68" s="15" t="s">
        <v>0</v>
      </c>
      <c r="B68" s="58" t="s">
        <v>1</v>
      </c>
      <c r="C68" s="15" t="s">
        <v>2</v>
      </c>
      <c r="D68" s="41" t="s">
        <v>3</v>
      </c>
      <c r="F68" s="3"/>
    </row>
    <row r="69" spans="1:6" s="14" customFormat="1" x14ac:dyDescent="0.45">
      <c r="A69" s="4" t="s">
        <v>128</v>
      </c>
      <c r="B69" s="59" t="s">
        <v>69</v>
      </c>
      <c r="C69" s="4" t="s">
        <v>15</v>
      </c>
      <c r="D69" s="42" t="s">
        <v>129</v>
      </c>
      <c r="F69" s="3"/>
    </row>
    <row r="71" spans="1:6" x14ac:dyDescent="0.45">
      <c r="A71" s="25" t="s">
        <v>119</v>
      </c>
    </row>
    <row r="78" spans="1:6" x14ac:dyDescent="0.45">
      <c r="B78" s="62"/>
    </row>
  </sheetData>
  <sheetProtection formatCells="0" formatColumns="0" formatRows="0"/>
  <mergeCells count="14">
    <mergeCell ref="F1:F7"/>
    <mergeCell ref="C31:D31"/>
    <mergeCell ref="C9:D9"/>
    <mergeCell ref="C10:D10"/>
    <mergeCell ref="C11:D11"/>
    <mergeCell ref="C13:D13"/>
    <mergeCell ref="C12:D12"/>
    <mergeCell ref="F59:F66"/>
    <mergeCell ref="F34:F35"/>
    <mergeCell ref="F48:F57"/>
    <mergeCell ref="F15:F29"/>
    <mergeCell ref="F42:F46"/>
    <mergeCell ref="F37:F40"/>
    <mergeCell ref="F31:F32"/>
  </mergeCells>
  <pageMargins left="0.7" right="0.7" top="0.75" bottom="0.75" header="0.3" footer="0.3"/>
  <pageSetup paperSize="9" orientation="portrait" r:id="rId1"/>
  <headerFooter>
    <oddHeader>&amp;R&amp;"Arial Black"&amp;10&amp;K4099DA INTERNAL&amp;1#_x000D_</oddHead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AB264DA-14A8-410B-B7AF-CF27AC9E7CB8}">
          <x14:formula1>
            <xm:f>BaseSheet!$A$26:$A$31</xm:f>
          </x14:formula1>
          <xm:sqref>B27</xm:sqref>
        </x14:dataValidation>
        <x14:dataValidation type="list" allowBlank="1" showInputMessage="1" showErrorMessage="1" xr:uid="{BE6C56D4-CD7A-4929-AA45-8247F3AE7974}">
          <x14:formula1>
            <xm:f>BaseSheet!$A$2:$A$13</xm:f>
          </x14:formula1>
          <xm:sqref>B30 B8</xm:sqref>
        </x14:dataValidation>
        <x14:dataValidation type="list" allowBlank="1" showInputMessage="1" showErrorMessage="1" xr:uid="{29D5B56B-5AA3-4F20-8974-B4C3D82E1360}">
          <x14:formula1>
            <xm:f>BaseSheet!$A$2:$A$5</xm:f>
          </x14:formula1>
          <xm:sqref>B4</xm:sqref>
        </x14:dataValidation>
        <x14:dataValidation type="list" allowBlank="1" showInputMessage="1" showErrorMessage="1" xr:uid="{399CFA81-15BD-438D-AF9C-06F07BF59881}">
          <x14:formula1>
            <xm:f>BaseSheet!$A$8:$A$11</xm:f>
          </x14:formula1>
          <xm:sqref>B5</xm:sqref>
        </x14:dataValidation>
        <x14:dataValidation type="list" allowBlank="1" showInputMessage="1" showErrorMessage="1" xr:uid="{0B77DEC6-B20E-496E-8CB6-3903040BF33A}">
          <x14:formula1>
            <xm:f>BaseSheet!$A$14:$A$15</xm:f>
          </x14:formula1>
          <xm:sqref>B6:B7 B20:B22 B24 B2:B3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4DA2-6204-4A45-8149-8244470BE140}">
  <sheetPr codeName="Sheet3"/>
  <dimension ref="A1:N34"/>
  <sheetViews>
    <sheetView zoomScaleNormal="100" workbookViewId="0">
      <pane xSplit="2" ySplit="2" topLeftCell="C3" activePane="bottomRight" state="frozen"/>
      <selection pane="topRight" activeCell="C1" sqref="C1"/>
      <selection pane="bottomLeft" activeCell="A3" sqref="A3"/>
      <selection pane="bottomRight" activeCell="C20" sqref="C20:N20"/>
    </sheetView>
  </sheetViews>
  <sheetFormatPr defaultColWidth="8.796875" defaultRowHeight="17.2" customHeight="1" x14ac:dyDescent="0.45"/>
  <cols>
    <col min="1" max="1" width="16.19921875" style="70" bestFit="1" customWidth="1"/>
    <col min="2" max="2" width="10.53125" style="70" bestFit="1" customWidth="1"/>
    <col min="3" max="3" width="19" style="70" bestFit="1" customWidth="1"/>
    <col min="4" max="4" width="21.19921875" style="70" bestFit="1" customWidth="1"/>
    <col min="5" max="5" width="19" style="70" bestFit="1" customWidth="1"/>
    <col min="6" max="6" width="20.19921875" style="70" bestFit="1" customWidth="1"/>
    <col min="7" max="8" width="20.46484375" style="70" bestFit="1" customWidth="1"/>
    <col min="9" max="10" width="20.796875" style="70" bestFit="1" customWidth="1"/>
    <col min="11" max="11" width="20.796875" style="70" customWidth="1"/>
    <col min="12" max="12" width="20.796875" style="70" bestFit="1" customWidth="1"/>
    <col min="13" max="13" width="20.46484375" style="70" bestFit="1" customWidth="1"/>
    <col min="14" max="14" width="20.796875" style="70" bestFit="1" customWidth="1"/>
    <col min="15" max="16384" width="8.796875" style="70"/>
  </cols>
  <sheetData>
    <row r="1" spans="1:14" s="165" customFormat="1" ht="17.2" customHeight="1" thickBot="1" x14ac:dyDescent="0.5">
      <c r="A1" s="164" t="s">
        <v>35</v>
      </c>
      <c r="C1" s="166"/>
      <c r="D1" s="166"/>
      <c r="E1" s="166"/>
      <c r="F1" s="166"/>
      <c r="G1" s="166"/>
      <c r="H1" s="166"/>
      <c r="I1" s="166"/>
      <c r="J1" s="166"/>
      <c r="K1" s="166"/>
      <c r="L1" s="166"/>
      <c r="M1" s="166"/>
      <c r="N1" s="166"/>
    </row>
    <row r="2" spans="1:14" ht="17.2" customHeight="1" x14ac:dyDescent="0.45">
      <c r="A2" s="110" t="s">
        <v>36</v>
      </c>
      <c r="B2" s="135" t="s">
        <v>37</v>
      </c>
      <c r="C2" s="111" t="s">
        <v>235</v>
      </c>
      <c r="D2" s="111" t="s">
        <v>243</v>
      </c>
      <c r="E2" s="111" t="s">
        <v>236</v>
      </c>
      <c r="F2" s="110" t="s">
        <v>237</v>
      </c>
      <c r="G2" s="110" t="s">
        <v>238</v>
      </c>
      <c r="H2" s="110" t="s">
        <v>240</v>
      </c>
      <c r="I2" s="110" t="s">
        <v>239</v>
      </c>
      <c r="J2" s="110" t="s">
        <v>241</v>
      </c>
      <c r="K2" s="110" t="s">
        <v>244</v>
      </c>
      <c r="L2" s="111" t="s">
        <v>242</v>
      </c>
      <c r="M2" s="111" t="s">
        <v>224</v>
      </c>
      <c r="N2" s="110" t="s">
        <v>225</v>
      </c>
    </row>
    <row r="3" spans="1:14" ht="17.2" customHeight="1" x14ac:dyDescent="0.45">
      <c r="A3" s="169" t="s">
        <v>250</v>
      </c>
      <c r="B3" s="136" t="s">
        <v>138</v>
      </c>
      <c r="C3" s="170" t="s">
        <v>249</v>
      </c>
      <c r="D3" s="170" t="s">
        <v>249</v>
      </c>
      <c r="E3" s="170" t="s">
        <v>249</v>
      </c>
      <c r="F3" s="170" t="s">
        <v>249</v>
      </c>
      <c r="G3" s="170" t="s">
        <v>249</v>
      </c>
      <c r="H3" s="170" t="s">
        <v>249</v>
      </c>
      <c r="I3" s="170" t="s">
        <v>249</v>
      </c>
      <c r="J3" s="170" t="s">
        <v>249</v>
      </c>
      <c r="K3" s="170" t="s">
        <v>249</v>
      </c>
      <c r="L3" s="170" t="s">
        <v>249</v>
      </c>
      <c r="M3" s="170" t="s">
        <v>249</v>
      </c>
      <c r="N3" s="170" t="s">
        <v>249</v>
      </c>
    </row>
    <row r="4" spans="1:14" ht="17.2" customHeight="1" x14ac:dyDescent="0.45">
      <c r="A4" s="112" t="s">
        <v>245</v>
      </c>
      <c r="B4" s="136" t="s">
        <v>138</v>
      </c>
      <c r="C4" s="106" t="s">
        <v>39</v>
      </c>
      <c r="D4" s="105" t="s">
        <v>39</v>
      </c>
      <c r="E4" s="106" t="s">
        <v>39</v>
      </c>
      <c r="F4" s="105" t="s">
        <v>39</v>
      </c>
      <c r="G4" s="105" t="s">
        <v>39</v>
      </c>
      <c r="H4" s="105" t="s">
        <v>39</v>
      </c>
      <c r="I4" s="105" t="s">
        <v>39</v>
      </c>
      <c r="J4" s="105" t="s">
        <v>39</v>
      </c>
      <c r="K4" s="106" t="s">
        <v>39</v>
      </c>
      <c r="L4" s="106" t="s">
        <v>39</v>
      </c>
      <c r="M4" s="106" t="s">
        <v>39</v>
      </c>
      <c r="N4" s="105" t="s">
        <v>39</v>
      </c>
    </row>
    <row r="5" spans="1:14" ht="17.2" customHeight="1" x14ac:dyDescent="0.45">
      <c r="A5" s="112" t="s">
        <v>246</v>
      </c>
      <c r="B5" s="136" t="s">
        <v>138</v>
      </c>
      <c r="C5" s="106" t="s">
        <v>39</v>
      </c>
      <c r="D5" s="105" t="s">
        <v>39</v>
      </c>
      <c r="E5" s="106" t="s">
        <v>39</v>
      </c>
      <c r="F5" s="105" t="s">
        <v>39</v>
      </c>
      <c r="G5" s="105" t="s">
        <v>39</v>
      </c>
      <c r="H5" s="105" t="s">
        <v>39</v>
      </c>
      <c r="I5" s="105" t="s">
        <v>39</v>
      </c>
      <c r="J5" s="105" t="s">
        <v>39</v>
      </c>
      <c r="K5" s="106" t="s">
        <v>39</v>
      </c>
      <c r="L5" s="106" t="s">
        <v>39</v>
      </c>
      <c r="M5" s="106" t="s">
        <v>39</v>
      </c>
      <c r="N5" s="105" t="s">
        <v>39</v>
      </c>
    </row>
    <row r="6" spans="1:14" ht="17.2" customHeight="1" x14ac:dyDescent="0.45">
      <c r="A6" s="112" t="s">
        <v>166</v>
      </c>
      <c r="B6" s="136" t="s">
        <v>138</v>
      </c>
      <c r="C6" s="106" t="s">
        <v>39</v>
      </c>
      <c r="D6" s="105" t="s">
        <v>39</v>
      </c>
      <c r="E6" s="106" t="s">
        <v>39</v>
      </c>
      <c r="F6" s="105" t="s">
        <v>39</v>
      </c>
      <c r="G6" s="105" t="s">
        <v>39</v>
      </c>
      <c r="H6" s="105" t="s">
        <v>39</v>
      </c>
      <c r="I6" s="105" t="s">
        <v>39</v>
      </c>
      <c r="J6" s="105" t="s">
        <v>39</v>
      </c>
      <c r="K6" s="106" t="s">
        <v>39</v>
      </c>
      <c r="L6" s="106" t="s">
        <v>39</v>
      </c>
      <c r="M6" s="106" t="s">
        <v>39</v>
      </c>
      <c r="N6" s="105" t="s">
        <v>39</v>
      </c>
    </row>
    <row r="7" spans="1:14" ht="17.2" customHeight="1" thickBot="1" x14ac:dyDescent="0.5">
      <c r="A7" s="112" t="s">
        <v>172</v>
      </c>
      <c r="B7" s="136" t="s">
        <v>138</v>
      </c>
      <c r="C7" s="106" t="s">
        <v>39</v>
      </c>
      <c r="D7" s="105" t="s">
        <v>39</v>
      </c>
      <c r="E7" s="106" t="s">
        <v>39</v>
      </c>
      <c r="F7" s="105" t="s">
        <v>153</v>
      </c>
      <c r="G7" s="105" t="s">
        <v>153</v>
      </c>
      <c r="H7" s="105" t="s">
        <v>153</v>
      </c>
      <c r="I7" s="105" t="s">
        <v>153</v>
      </c>
      <c r="J7" s="105" t="s">
        <v>153</v>
      </c>
      <c r="K7" s="106" t="s">
        <v>39</v>
      </c>
      <c r="L7" s="106" t="s">
        <v>39</v>
      </c>
      <c r="M7" s="106" t="s">
        <v>39</v>
      </c>
      <c r="N7" s="105" t="s">
        <v>39</v>
      </c>
    </row>
    <row r="8" spans="1:14" ht="17.2" customHeight="1" x14ac:dyDescent="0.45">
      <c r="A8" s="143" t="s">
        <v>212</v>
      </c>
      <c r="B8" s="144" t="s">
        <v>138</v>
      </c>
      <c r="C8" s="72" t="s">
        <v>39</v>
      </c>
      <c r="D8" s="71" t="s">
        <v>39</v>
      </c>
      <c r="E8" s="72" t="s">
        <v>39</v>
      </c>
      <c r="F8" s="71" t="s">
        <v>39</v>
      </c>
      <c r="G8" s="71" t="s">
        <v>39</v>
      </c>
      <c r="H8" s="71" t="s">
        <v>39</v>
      </c>
      <c r="I8" s="71" t="s">
        <v>39</v>
      </c>
      <c r="J8" s="71" t="s">
        <v>39</v>
      </c>
      <c r="K8" s="72" t="s">
        <v>39</v>
      </c>
      <c r="L8" s="72" t="s">
        <v>39</v>
      </c>
      <c r="M8" s="72" t="s">
        <v>39</v>
      </c>
      <c r="N8" s="71" t="s">
        <v>39</v>
      </c>
    </row>
    <row r="9" spans="1:14" ht="17.2" customHeight="1" x14ac:dyDescent="0.45">
      <c r="A9" s="113" t="s">
        <v>213</v>
      </c>
      <c r="B9" s="137" t="s">
        <v>138</v>
      </c>
      <c r="C9" s="106" t="s">
        <v>39</v>
      </c>
      <c r="D9" s="105" t="s">
        <v>39</v>
      </c>
      <c r="E9" s="106" t="s">
        <v>39</v>
      </c>
      <c r="F9" s="105" t="s">
        <v>153</v>
      </c>
      <c r="G9" s="105" t="s">
        <v>153</v>
      </c>
      <c r="H9" s="105" t="s">
        <v>153</v>
      </c>
      <c r="I9" s="105" t="s">
        <v>153</v>
      </c>
      <c r="J9" s="105" t="s">
        <v>153</v>
      </c>
      <c r="K9" s="106" t="s">
        <v>39</v>
      </c>
      <c r="L9" s="106" t="s">
        <v>39</v>
      </c>
      <c r="M9" s="106" t="s">
        <v>39</v>
      </c>
      <c r="N9" s="105" t="s">
        <v>39</v>
      </c>
    </row>
    <row r="10" spans="1:14" ht="17.2" customHeight="1" thickBot="1" x14ac:dyDescent="0.5">
      <c r="A10" s="145" t="s">
        <v>214</v>
      </c>
      <c r="B10" s="146" t="s">
        <v>138</v>
      </c>
      <c r="C10" s="76" t="s">
        <v>153</v>
      </c>
      <c r="D10" s="75" t="s">
        <v>153</v>
      </c>
      <c r="E10" s="76" t="s">
        <v>153</v>
      </c>
      <c r="F10" s="75" t="s">
        <v>153</v>
      </c>
      <c r="G10" s="75" t="s">
        <v>153</v>
      </c>
      <c r="H10" s="75" t="s">
        <v>153</v>
      </c>
      <c r="I10" s="75" t="s">
        <v>153</v>
      </c>
      <c r="J10" s="75" t="s">
        <v>153</v>
      </c>
      <c r="K10" s="76" t="s">
        <v>153</v>
      </c>
      <c r="L10" s="76" t="s">
        <v>153</v>
      </c>
      <c r="M10" s="76" t="s">
        <v>153</v>
      </c>
      <c r="N10" s="75" t="s">
        <v>153</v>
      </c>
    </row>
    <row r="11" spans="1:14" ht="17.2" customHeight="1" x14ac:dyDescent="0.45">
      <c r="A11" s="147" t="s">
        <v>167</v>
      </c>
      <c r="B11" s="148" t="s">
        <v>138</v>
      </c>
      <c r="C11" s="72" t="s">
        <v>39</v>
      </c>
      <c r="D11" s="71" t="s">
        <v>39</v>
      </c>
      <c r="E11" s="72" t="s">
        <v>39</v>
      </c>
      <c r="F11" s="71" t="s">
        <v>39</v>
      </c>
      <c r="G11" s="71" t="s">
        <v>39</v>
      </c>
      <c r="H11" s="71" t="s">
        <v>39</v>
      </c>
      <c r="I11" s="71" t="s">
        <v>39</v>
      </c>
      <c r="J11" s="71" t="s">
        <v>39</v>
      </c>
      <c r="K11" s="72" t="s">
        <v>39</v>
      </c>
      <c r="L11" s="72" t="s">
        <v>39</v>
      </c>
      <c r="M11" s="72" t="s">
        <v>39</v>
      </c>
      <c r="N11" s="71" t="s">
        <v>39</v>
      </c>
    </row>
    <row r="12" spans="1:14" ht="17.2" customHeight="1" x14ac:dyDescent="0.45">
      <c r="A12" s="114" t="s">
        <v>173</v>
      </c>
      <c r="B12" s="138" t="s">
        <v>138</v>
      </c>
      <c r="C12" s="106" t="s">
        <v>39</v>
      </c>
      <c r="D12" s="105" t="s">
        <v>39</v>
      </c>
      <c r="E12" s="106" t="s">
        <v>39</v>
      </c>
      <c r="F12" s="105" t="s">
        <v>153</v>
      </c>
      <c r="G12" s="105" t="s">
        <v>153</v>
      </c>
      <c r="H12" s="105" t="s">
        <v>153</v>
      </c>
      <c r="I12" s="105" t="s">
        <v>153</v>
      </c>
      <c r="J12" s="105" t="s">
        <v>153</v>
      </c>
      <c r="K12" s="106" t="s">
        <v>39</v>
      </c>
      <c r="L12" s="106" t="s">
        <v>39</v>
      </c>
      <c r="M12" s="106" t="s">
        <v>39</v>
      </c>
      <c r="N12" s="105" t="s">
        <v>39</v>
      </c>
    </row>
    <row r="13" spans="1:14" ht="17.2" customHeight="1" x14ac:dyDescent="0.45">
      <c r="A13" s="114" t="s">
        <v>171</v>
      </c>
      <c r="B13" s="138" t="s">
        <v>138</v>
      </c>
      <c r="C13" s="106" t="s">
        <v>153</v>
      </c>
      <c r="D13" s="105" t="s">
        <v>153</v>
      </c>
      <c r="E13" s="106" t="s">
        <v>153</v>
      </c>
      <c r="F13" s="105" t="s">
        <v>153</v>
      </c>
      <c r="G13" s="105" t="s">
        <v>153</v>
      </c>
      <c r="H13" s="105" t="s">
        <v>153</v>
      </c>
      <c r="I13" s="105" t="s">
        <v>153</v>
      </c>
      <c r="J13" s="105" t="s">
        <v>153</v>
      </c>
      <c r="K13" s="105" t="s">
        <v>39</v>
      </c>
      <c r="L13" s="105" t="s">
        <v>39</v>
      </c>
      <c r="M13" s="105" t="s">
        <v>39</v>
      </c>
      <c r="N13" s="105" t="s">
        <v>39</v>
      </c>
    </row>
    <row r="14" spans="1:14" ht="17.2" customHeight="1" x14ac:dyDescent="0.45">
      <c r="A14" s="114" t="s">
        <v>168</v>
      </c>
      <c r="B14" s="138" t="s">
        <v>138</v>
      </c>
      <c r="C14" s="106" t="s">
        <v>39</v>
      </c>
      <c r="D14" s="105" t="s">
        <v>39</v>
      </c>
      <c r="E14" s="106" t="s">
        <v>39</v>
      </c>
      <c r="F14" s="105" t="s">
        <v>39</v>
      </c>
      <c r="G14" s="105" t="s">
        <v>39</v>
      </c>
      <c r="H14" s="105" t="s">
        <v>39</v>
      </c>
      <c r="I14" s="105" t="s">
        <v>39</v>
      </c>
      <c r="J14" s="105" t="s">
        <v>39</v>
      </c>
      <c r="K14" s="106" t="s">
        <v>39</v>
      </c>
      <c r="L14" s="106" t="s">
        <v>39</v>
      </c>
      <c r="M14" s="106" t="s">
        <v>39</v>
      </c>
      <c r="N14" s="105" t="s">
        <v>39</v>
      </c>
    </row>
    <row r="15" spans="1:14" ht="17.2" customHeight="1" x14ac:dyDescent="0.45">
      <c r="A15" s="114" t="s">
        <v>174</v>
      </c>
      <c r="B15" s="138" t="s">
        <v>138</v>
      </c>
      <c r="C15" s="106" t="s">
        <v>39</v>
      </c>
      <c r="D15" s="105" t="s">
        <v>39</v>
      </c>
      <c r="E15" s="106" t="s">
        <v>39</v>
      </c>
      <c r="F15" s="105" t="s">
        <v>153</v>
      </c>
      <c r="G15" s="105" t="s">
        <v>153</v>
      </c>
      <c r="H15" s="105" t="s">
        <v>153</v>
      </c>
      <c r="I15" s="105" t="s">
        <v>153</v>
      </c>
      <c r="J15" s="105" t="s">
        <v>153</v>
      </c>
      <c r="K15" s="106" t="s">
        <v>39</v>
      </c>
      <c r="L15" s="106" t="s">
        <v>39</v>
      </c>
      <c r="M15" s="106" t="s">
        <v>39</v>
      </c>
      <c r="N15" s="105" t="s">
        <v>39</v>
      </c>
    </row>
    <row r="16" spans="1:14" ht="17.2" customHeight="1" x14ac:dyDescent="0.45">
      <c r="A16" s="114" t="s">
        <v>169</v>
      </c>
      <c r="B16" s="138" t="s">
        <v>138</v>
      </c>
      <c r="C16" s="106" t="s">
        <v>39</v>
      </c>
      <c r="D16" s="105" t="s">
        <v>39</v>
      </c>
      <c r="E16" s="106" t="s">
        <v>39</v>
      </c>
      <c r="F16" s="105" t="s">
        <v>39</v>
      </c>
      <c r="G16" s="105" t="s">
        <v>39</v>
      </c>
      <c r="H16" s="105" t="s">
        <v>39</v>
      </c>
      <c r="I16" s="105" t="s">
        <v>39</v>
      </c>
      <c r="J16" s="105" t="s">
        <v>39</v>
      </c>
      <c r="K16" s="106" t="s">
        <v>153</v>
      </c>
      <c r="L16" s="106" t="s">
        <v>153</v>
      </c>
      <c r="M16" s="106" t="s">
        <v>153</v>
      </c>
      <c r="N16" s="105" t="s">
        <v>153</v>
      </c>
    </row>
    <row r="17" spans="1:14" ht="17.2" customHeight="1" x14ac:dyDescent="0.45">
      <c r="A17" s="114" t="s">
        <v>175</v>
      </c>
      <c r="B17" s="138" t="s">
        <v>138</v>
      </c>
      <c r="C17" s="106" t="s">
        <v>39</v>
      </c>
      <c r="D17" s="105" t="s">
        <v>39</v>
      </c>
      <c r="E17" s="106" t="s">
        <v>39</v>
      </c>
      <c r="F17" s="105" t="s">
        <v>153</v>
      </c>
      <c r="G17" s="105" t="s">
        <v>153</v>
      </c>
      <c r="H17" s="105" t="s">
        <v>153</v>
      </c>
      <c r="I17" s="105" t="s">
        <v>153</v>
      </c>
      <c r="J17" s="105" t="s">
        <v>153</v>
      </c>
      <c r="K17" s="106" t="s">
        <v>39</v>
      </c>
      <c r="L17" s="106" t="s">
        <v>39</v>
      </c>
      <c r="M17" s="106" t="s">
        <v>39</v>
      </c>
      <c r="N17" s="105" t="s">
        <v>39</v>
      </c>
    </row>
    <row r="18" spans="1:14" ht="17.2" customHeight="1" x14ac:dyDescent="0.45">
      <c r="A18" s="114" t="s">
        <v>247</v>
      </c>
      <c r="B18" s="138" t="s">
        <v>138</v>
      </c>
      <c r="C18" s="105" t="s">
        <v>39</v>
      </c>
      <c r="D18" s="105" t="s">
        <v>39</v>
      </c>
      <c r="E18" s="105" t="s">
        <v>39</v>
      </c>
      <c r="F18" s="105" t="s">
        <v>39</v>
      </c>
      <c r="G18" s="105" t="s">
        <v>39</v>
      </c>
      <c r="H18" s="105" t="s">
        <v>39</v>
      </c>
      <c r="I18" s="105" t="s">
        <v>39</v>
      </c>
      <c r="J18" s="105" t="s">
        <v>39</v>
      </c>
      <c r="K18" s="105" t="s">
        <v>153</v>
      </c>
      <c r="L18" s="105" t="s">
        <v>153</v>
      </c>
      <c r="M18" s="105" t="s">
        <v>153</v>
      </c>
      <c r="N18" s="105" t="s">
        <v>153</v>
      </c>
    </row>
    <row r="19" spans="1:14" ht="17.2" customHeight="1" thickBot="1" x14ac:dyDescent="0.5">
      <c r="A19" s="114" t="s">
        <v>248</v>
      </c>
      <c r="B19" s="138" t="s">
        <v>138</v>
      </c>
      <c r="C19" s="105" t="s">
        <v>39</v>
      </c>
      <c r="D19" s="105" t="s">
        <v>39</v>
      </c>
      <c r="E19" s="105" t="s">
        <v>39</v>
      </c>
      <c r="F19" s="75" t="s">
        <v>153</v>
      </c>
      <c r="G19" s="75" t="s">
        <v>153</v>
      </c>
      <c r="H19" s="75" t="s">
        <v>153</v>
      </c>
      <c r="I19" s="75" t="s">
        <v>153</v>
      </c>
      <c r="J19" s="75" t="s">
        <v>153</v>
      </c>
      <c r="K19" s="105" t="s">
        <v>39</v>
      </c>
      <c r="L19" s="105" t="s">
        <v>39</v>
      </c>
      <c r="M19" s="105" t="s">
        <v>39</v>
      </c>
      <c r="N19" s="105" t="s">
        <v>39</v>
      </c>
    </row>
    <row r="20" spans="1:14" ht="17.2" customHeight="1" x14ac:dyDescent="0.45">
      <c r="A20" s="114" t="s">
        <v>170</v>
      </c>
      <c r="B20" s="138" t="s">
        <v>138</v>
      </c>
      <c r="C20" s="106" t="s">
        <v>39</v>
      </c>
      <c r="D20" s="106" t="s">
        <v>39</v>
      </c>
      <c r="E20" s="106" t="s">
        <v>39</v>
      </c>
      <c r="F20" s="106" t="s">
        <v>39</v>
      </c>
      <c r="G20" s="106" t="s">
        <v>39</v>
      </c>
      <c r="H20" s="106" t="s">
        <v>39</v>
      </c>
      <c r="I20" s="106" t="s">
        <v>39</v>
      </c>
      <c r="J20" s="106" t="s">
        <v>39</v>
      </c>
      <c r="K20" s="106" t="s">
        <v>39</v>
      </c>
      <c r="L20" s="106" t="s">
        <v>39</v>
      </c>
      <c r="M20" s="106" t="s">
        <v>39</v>
      </c>
      <c r="N20" s="106" t="s">
        <v>39</v>
      </c>
    </row>
    <row r="21" spans="1:14" ht="17.2" customHeight="1" thickBot="1" x14ac:dyDescent="0.5">
      <c r="A21" s="149" t="s">
        <v>176</v>
      </c>
      <c r="B21" s="150" t="s">
        <v>138</v>
      </c>
      <c r="C21" s="76" t="s">
        <v>39</v>
      </c>
      <c r="D21" s="75" t="s">
        <v>153</v>
      </c>
      <c r="E21" s="76" t="s">
        <v>39</v>
      </c>
      <c r="F21" s="75" t="s">
        <v>153</v>
      </c>
      <c r="G21" s="75" t="s">
        <v>153</v>
      </c>
      <c r="H21" s="75" t="s">
        <v>153</v>
      </c>
      <c r="I21" s="75" t="s">
        <v>153</v>
      </c>
      <c r="J21" s="75" t="s">
        <v>153</v>
      </c>
      <c r="K21" s="76" t="s">
        <v>39</v>
      </c>
      <c r="L21" s="76" t="s">
        <v>39</v>
      </c>
      <c r="M21" s="76" t="s">
        <v>39</v>
      </c>
      <c r="N21" s="75" t="s">
        <v>153</v>
      </c>
    </row>
    <row r="22" spans="1:14" ht="17.2" customHeight="1" x14ac:dyDescent="0.45">
      <c r="A22" s="151" t="s">
        <v>215</v>
      </c>
      <c r="B22" s="152" t="s">
        <v>138</v>
      </c>
      <c r="C22" s="72" t="s">
        <v>153</v>
      </c>
      <c r="D22" s="71" t="s">
        <v>153</v>
      </c>
      <c r="E22" s="72" t="s">
        <v>153</v>
      </c>
      <c r="F22" s="71" t="s">
        <v>153</v>
      </c>
      <c r="G22" s="71" t="s">
        <v>153</v>
      </c>
      <c r="H22" s="71" t="s">
        <v>153</v>
      </c>
      <c r="I22" s="71" t="s">
        <v>153</v>
      </c>
      <c r="J22" s="71" t="s">
        <v>153</v>
      </c>
      <c r="K22" s="72" t="s">
        <v>153</v>
      </c>
      <c r="L22" s="72" t="s">
        <v>153</v>
      </c>
      <c r="M22" s="72" t="s">
        <v>153</v>
      </c>
      <c r="N22" s="71" t="s">
        <v>153</v>
      </c>
    </row>
    <row r="23" spans="1:14" ht="17.2" customHeight="1" x14ac:dyDescent="0.45">
      <c r="A23" s="153" t="s">
        <v>216</v>
      </c>
      <c r="B23" s="154" t="s">
        <v>138</v>
      </c>
      <c r="C23" s="156" t="s">
        <v>153</v>
      </c>
      <c r="D23" s="155" t="s">
        <v>153</v>
      </c>
      <c r="E23" s="156" t="s">
        <v>153</v>
      </c>
      <c r="F23" s="155" t="s">
        <v>153</v>
      </c>
      <c r="G23" s="155" t="s">
        <v>153</v>
      </c>
      <c r="H23" s="155" t="s">
        <v>153</v>
      </c>
      <c r="I23" s="155" t="s">
        <v>153</v>
      </c>
      <c r="J23" s="155" t="s">
        <v>153</v>
      </c>
      <c r="K23" s="156" t="s">
        <v>153</v>
      </c>
      <c r="L23" s="156" t="s">
        <v>153</v>
      </c>
      <c r="M23" s="156" t="s">
        <v>153</v>
      </c>
      <c r="N23" s="155" t="s">
        <v>153</v>
      </c>
    </row>
    <row r="24" spans="1:14" ht="17.2" customHeight="1" thickBot="1" x14ac:dyDescent="0.5">
      <c r="A24" s="115" t="s">
        <v>218</v>
      </c>
      <c r="B24" s="139" t="s">
        <v>138</v>
      </c>
      <c r="C24" s="76" t="s">
        <v>153</v>
      </c>
      <c r="D24" s="75" t="s">
        <v>153</v>
      </c>
      <c r="E24" s="76" t="s">
        <v>153</v>
      </c>
      <c r="F24" s="75" t="s">
        <v>153</v>
      </c>
      <c r="G24" s="75" t="s">
        <v>153</v>
      </c>
      <c r="H24" s="75" t="s">
        <v>153</v>
      </c>
      <c r="I24" s="75" t="s">
        <v>153</v>
      </c>
      <c r="J24" s="75" t="s">
        <v>153</v>
      </c>
      <c r="K24" s="76" t="s">
        <v>153</v>
      </c>
      <c r="L24" s="76" t="s">
        <v>153</v>
      </c>
      <c r="M24" s="76" t="s">
        <v>153</v>
      </c>
      <c r="N24" s="75" t="s">
        <v>153</v>
      </c>
    </row>
    <row r="25" spans="1:14" ht="17.2" customHeight="1" thickBot="1" x14ac:dyDescent="0.5">
      <c r="A25" s="68" t="s">
        <v>88</v>
      </c>
      <c r="B25" s="69"/>
      <c r="C25" s="69"/>
      <c r="D25" s="69"/>
      <c r="E25" s="69"/>
      <c r="F25" s="69"/>
      <c r="G25" s="69"/>
      <c r="H25" s="69"/>
      <c r="I25" s="69"/>
      <c r="J25" s="69"/>
      <c r="K25" s="69"/>
      <c r="L25" s="69"/>
      <c r="M25" s="69"/>
      <c r="N25" s="69"/>
    </row>
    <row r="26" spans="1:14" ht="17.2" customHeight="1" x14ac:dyDescent="0.45">
      <c r="A26" s="71" t="s">
        <v>38</v>
      </c>
      <c r="B26" s="119" t="s">
        <v>207</v>
      </c>
      <c r="C26" s="123">
        <v>0.4516</v>
      </c>
      <c r="D26" s="123">
        <v>0.32179999999999997</v>
      </c>
      <c r="E26" s="122">
        <v>0.19209999999999999</v>
      </c>
      <c r="F26" s="123">
        <v>0.4516</v>
      </c>
      <c r="G26" s="123">
        <v>0.4516</v>
      </c>
      <c r="H26" s="123">
        <v>0.4516</v>
      </c>
      <c r="I26" s="123">
        <v>0.32179999999999997</v>
      </c>
      <c r="J26" s="122">
        <v>0.19209999999999999</v>
      </c>
      <c r="K26" s="123">
        <v>0.4516</v>
      </c>
      <c r="L26" s="123">
        <v>0.4516</v>
      </c>
      <c r="M26" s="122">
        <v>0.19209999999999999</v>
      </c>
      <c r="N26" s="122">
        <v>0.19209999999999999</v>
      </c>
    </row>
    <row r="27" spans="1:14" ht="17.2" customHeight="1" x14ac:dyDescent="0.45">
      <c r="A27" s="105" t="s">
        <v>38</v>
      </c>
      <c r="B27" s="120" t="s">
        <v>207</v>
      </c>
      <c r="C27" s="125">
        <v>5.3871000000000002</v>
      </c>
      <c r="D27" s="125">
        <v>3.7121</v>
      </c>
      <c r="E27" s="124">
        <v>2.0371000000000001</v>
      </c>
      <c r="F27" s="125">
        <v>5.3871000000000002</v>
      </c>
      <c r="G27" s="125">
        <v>5.3871000000000002</v>
      </c>
      <c r="H27" s="125">
        <v>5.3871000000000002</v>
      </c>
      <c r="I27" s="125">
        <v>3.7121</v>
      </c>
      <c r="J27" s="124">
        <v>2.0371000000000001</v>
      </c>
      <c r="K27" s="125">
        <v>5.3871000000000002</v>
      </c>
      <c r="L27" s="125">
        <v>5.3871000000000002</v>
      </c>
      <c r="M27" s="124">
        <v>2.0371000000000001</v>
      </c>
      <c r="N27" s="124">
        <v>2.0371000000000001</v>
      </c>
    </row>
    <row r="28" spans="1:14" ht="17.2" customHeight="1" x14ac:dyDescent="0.45">
      <c r="A28" s="105" t="s">
        <v>38</v>
      </c>
      <c r="B28" s="120" t="s">
        <v>207</v>
      </c>
      <c r="C28" s="125">
        <v>0.89290000000000003</v>
      </c>
      <c r="D28" s="125">
        <v>0.56769999999999998</v>
      </c>
      <c r="E28" s="124">
        <v>0.24249999999999999</v>
      </c>
      <c r="F28" s="125">
        <v>0.89290000000000003</v>
      </c>
      <c r="G28" s="125">
        <v>0.89290000000000003</v>
      </c>
      <c r="H28" s="125">
        <v>0.89290000000000003</v>
      </c>
      <c r="I28" s="125">
        <v>0.56769999999999998</v>
      </c>
      <c r="J28" s="124">
        <v>0.24249999999999999</v>
      </c>
      <c r="K28" s="125">
        <v>0.89290000000000003</v>
      </c>
      <c r="L28" s="125">
        <v>0.89290000000000003</v>
      </c>
      <c r="M28" s="124">
        <v>0.24249999999999999</v>
      </c>
      <c r="N28" s="124">
        <v>0.24249999999999999</v>
      </c>
    </row>
    <row r="29" spans="1:14" ht="17.2" customHeight="1" thickBot="1" x14ac:dyDescent="0.5">
      <c r="A29" s="75" t="s">
        <v>38</v>
      </c>
      <c r="B29" s="121" t="s">
        <v>207</v>
      </c>
      <c r="C29" s="127">
        <v>9.0988000000000007</v>
      </c>
      <c r="D29" s="127">
        <v>5.5655999999999999</v>
      </c>
      <c r="E29" s="126">
        <v>2.0324</v>
      </c>
      <c r="F29" s="127">
        <v>9.0988000000000007</v>
      </c>
      <c r="G29" s="127">
        <v>9.0988000000000007</v>
      </c>
      <c r="H29" s="127">
        <v>9.0988000000000007</v>
      </c>
      <c r="I29" s="127">
        <v>5.5655999999999999</v>
      </c>
      <c r="J29" s="126">
        <v>2.0324</v>
      </c>
      <c r="K29" s="127">
        <v>9.0988000000000007</v>
      </c>
      <c r="L29" s="127">
        <v>9.0988000000000007</v>
      </c>
      <c r="M29" s="126">
        <v>2.0324</v>
      </c>
      <c r="N29" s="126">
        <v>2.0324</v>
      </c>
    </row>
    <row r="30" spans="1:14" ht="17.2" customHeight="1" thickBot="1" x14ac:dyDescent="0.5">
      <c r="A30" s="68" t="s">
        <v>130</v>
      </c>
      <c r="B30" s="69"/>
      <c r="C30" s="69"/>
      <c r="D30" s="69"/>
      <c r="E30" s="69"/>
      <c r="F30" s="69"/>
      <c r="G30" s="69"/>
      <c r="H30" s="69"/>
      <c r="I30" s="69"/>
      <c r="J30" s="69"/>
      <c r="K30" s="69"/>
      <c r="L30" s="69"/>
      <c r="M30" s="69"/>
      <c r="N30" s="69"/>
    </row>
    <row r="31" spans="1:14" ht="17.2" customHeight="1" x14ac:dyDescent="0.45">
      <c r="A31" s="116" t="s">
        <v>38</v>
      </c>
      <c r="B31" s="128" t="s">
        <v>221</v>
      </c>
      <c r="C31" s="158">
        <v>1</v>
      </c>
      <c r="D31" s="157">
        <v>1</v>
      </c>
      <c r="E31" s="158">
        <v>1</v>
      </c>
      <c r="F31" s="157">
        <v>1</v>
      </c>
      <c r="G31" s="157">
        <v>1</v>
      </c>
      <c r="H31" s="158">
        <v>1</v>
      </c>
      <c r="I31" s="157">
        <v>1</v>
      </c>
      <c r="J31" s="158">
        <v>1</v>
      </c>
      <c r="K31" s="158">
        <v>1</v>
      </c>
      <c r="L31" s="158">
        <v>1</v>
      </c>
      <c r="M31" s="158">
        <v>1</v>
      </c>
      <c r="N31" s="157">
        <v>1</v>
      </c>
    </row>
    <row r="32" spans="1:14" ht="17.2" customHeight="1" x14ac:dyDescent="0.45">
      <c r="A32" s="117" t="s">
        <v>38</v>
      </c>
      <c r="B32" s="129" t="s">
        <v>211</v>
      </c>
      <c r="C32" s="132">
        <f t="shared" ref="C32" si="0">0.14*1.1</f>
        <v>0.15400000000000003</v>
      </c>
      <c r="D32" s="132">
        <f t="shared" ref="D32" si="1">0.14*1.1</f>
        <v>0.15400000000000003</v>
      </c>
      <c r="E32" s="132">
        <f t="shared" ref="E32" si="2">0.14*1.1</f>
        <v>0.15400000000000003</v>
      </c>
      <c r="F32" s="132">
        <f>0.14*1.025</f>
        <v>0.14349999999999999</v>
      </c>
      <c r="G32" s="132">
        <f t="shared" ref="G32:H32" si="3">0.14*1.1</f>
        <v>0.15400000000000003</v>
      </c>
      <c r="H32" s="132">
        <f t="shared" si="3"/>
        <v>0.15400000000000003</v>
      </c>
      <c r="I32" s="132">
        <f t="shared" ref="I32" si="4">0.14*1.1</f>
        <v>0.15400000000000003</v>
      </c>
      <c r="J32" s="132">
        <f t="shared" ref="J32" si="5">0.14*1.1</f>
        <v>0.15400000000000003</v>
      </c>
      <c r="K32" s="132">
        <f t="shared" ref="K32:L32" si="6">0.14*1.1</f>
        <v>0.15400000000000003</v>
      </c>
      <c r="L32" s="132">
        <f t="shared" si="6"/>
        <v>0.15400000000000003</v>
      </c>
      <c r="M32" s="132">
        <f t="shared" ref="M32" si="7">0.14*0.9</f>
        <v>0.12600000000000003</v>
      </c>
      <c r="N32" s="132">
        <f>0.14*0.925</f>
        <v>0.12950000000000003</v>
      </c>
    </row>
    <row r="33" spans="1:14" ht="17.2" customHeight="1" x14ac:dyDescent="0.45">
      <c r="A33" s="117" t="s">
        <v>208</v>
      </c>
      <c r="B33" s="130" t="s">
        <v>210</v>
      </c>
      <c r="C33" s="133">
        <v>0.58499999999999996</v>
      </c>
      <c r="D33" s="133">
        <v>0.58499999999999996</v>
      </c>
      <c r="E33" s="133">
        <v>0.58499999999999996</v>
      </c>
      <c r="F33" s="133">
        <v>0.53100000000000003</v>
      </c>
      <c r="G33" s="160">
        <v>0.55700000000000005</v>
      </c>
      <c r="H33" s="162">
        <v>0.58499999999999996</v>
      </c>
      <c r="I33" s="160">
        <v>0.55700000000000005</v>
      </c>
      <c r="J33" s="162">
        <v>0.58499999999999996</v>
      </c>
      <c r="K33" s="133">
        <v>0.67800000000000005</v>
      </c>
      <c r="L33" s="133">
        <v>0.67800000000000005</v>
      </c>
      <c r="M33" s="133">
        <v>0.67800000000000005</v>
      </c>
      <c r="N33" s="133">
        <v>0.67800000000000005</v>
      </c>
    </row>
    <row r="34" spans="1:14" ht="17.2" customHeight="1" thickBot="1" x14ac:dyDescent="0.5">
      <c r="A34" s="118" t="s">
        <v>209</v>
      </c>
      <c r="B34" s="131" t="s">
        <v>210</v>
      </c>
      <c r="C34" s="134">
        <v>0.58499999999999996</v>
      </c>
      <c r="D34" s="134">
        <v>0.58499999999999996</v>
      </c>
      <c r="E34" s="134">
        <v>0.58499999999999996</v>
      </c>
      <c r="F34" s="134">
        <v>0.53100000000000003</v>
      </c>
      <c r="G34" s="161">
        <v>0.55700000000000005</v>
      </c>
      <c r="H34" s="163">
        <v>0.58499999999999996</v>
      </c>
      <c r="I34" s="161">
        <v>0.55700000000000005</v>
      </c>
      <c r="J34" s="163">
        <v>0.58499999999999996</v>
      </c>
      <c r="K34" s="134">
        <v>0.67800000000000005</v>
      </c>
      <c r="L34" s="134">
        <v>0.67800000000000005</v>
      </c>
      <c r="M34" s="134">
        <v>0.67800000000000005</v>
      </c>
      <c r="N34" s="134">
        <v>0.67800000000000005</v>
      </c>
    </row>
  </sheetData>
  <phoneticPr fontId="8" type="noConversion"/>
  <conditionalFormatting sqref="C2:N3">
    <cfRule type="duplicateValues" dxfId="12" priority="4613"/>
  </conditionalFormatting>
  <conditionalFormatting sqref="C4:N29">
    <cfRule type="containsText" dxfId="11" priority="1" operator="containsText" text="OFF">
      <formula>NOT(ISERROR(SEARCH("OFF",C4)))</formula>
    </cfRule>
    <cfRule type="containsText" dxfId="10" priority="2" operator="containsText" text="SWITCH">
      <formula>NOT(ISERROR(SEARCH("SWITCH",C4)))</formula>
    </cfRule>
    <cfRule type="containsText" dxfId="9" priority="3" operator="containsText" text="ON">
      <formula>NOT(ISERROR(SEARCH("ON",C4)))</formula>
    </cfRule>
  </conditionalFormatting>
  <conditionalFormatting sqref="C31:N34">
    <cfRule type="containsText" dxfId="8" priority="4" operator="containsText" text="ON">
      <formula>NOT(ISERROR(SEARCH("ON",C31)))</formula>
    </cfRule>
    <cfRule type="containsText" dxfId="7" priority="5" operator="containsText" text="OFF">
      <formula>NOT(ISERROR(SEARCH("OFF",C31)))</formula>
    </cfRule>
    <cfRule type="containsText" dxfId="6" priority="6" operator="containsText" text="ENERG">
      <formula>NOT(ISERROR(SEARCH("ENERG",C31)))</formula>
    </cfRule>
  </conditionalFormatting>
  <pageMargins left="0.7" right="0.7" top="0.75" bottom="0.75" header="0.3" footer="0.3"/>
  <pageSetup paperSize="9" orientation="portrait" r:id="rId1"/>
  <headerFooter>
    <oddHeader>&amp;R&amp;"Arial Black"&amp;10&amp;K4099DA INTERNAL&amp;1#_x000D_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31F7-1FB7-43A5-B584-981BCEA8E4C8}">
  <sheetPr codeName="Sheet4"/>
  <dimension ref="A1:N15"/>
  <sheetViews>
    <sheetView tabSelected="1" zoomScale="85" zoomScaleNormal="85" workbookViewId="0">
      <pane xSplit="2" ySplit="2" topLeftCell="C3" activePane="bottomRight" state="frozen"/>
      <selection pane="topRight" activeCell="C1" sqref="C1"/>
      <selection pane="bottomLeft" activeCell="A3" sqref="A3"/>
      <selection pane="bottomRight" activeCell="D14" sqref="D14"/>
    </sheetView>
  </sheetViews>
  <sheetFormatPr defaultColWidth="8.796875" defaultRowHeight="18" customHeight="1" x14ac:dyDescent="0.45"/>
  <cols>
    <col min="1" max="1" width="15.19921875" style="70" bestFit="1" customWidth="1"/>
    <col min="2" max="2" width="7.59765625" style="70" bestFit="1" customWidth="1"/>
    <col min="3" max="3" width="19.9296875" style="70" bestFit="1" customWidth="1"/>
    <col min="4" max="14" width="14.19921875" style="70" bestFit="1" customWidth="1"/>
    <col min="15" max="16384" width="8.796875" style="70"/>
  </cols>
  <sheetData>
    <row r="1" spans="1:14" ht="18" customHeight="1" thickBot="1" x14ac:dyDescent="0.5">
      <c r="A1" s="167" t="s">
        <v>40</v>
      </c>
      <c r="C1" s="168"/>
      <c r="D1" s="168"/>
      <c r="E1" s="168"/>
      <c r="F1" s="168"/>
      <c r="G1" s="168"/>
      <c r="H1" s="168"/>
      <c r="I1" s="168"/>
      <c r="J1" s="168"/>
      <c r="K1" s="168"/>
      <c r="L1" s="168"/>
      <c r="M1" s="168"/>
      <c r="N1" s="168"/>
    </row>
    <row r="2" spans="1:14" ht="18" customHeight="1" x14ac:dyDescent="0.45">
      <c r="A2" s="104" t="s">
        <v>41</v>
      </c>
      <c r="B2" s="141" t="s">
        <v>44</v>
      </c>
      <c r="C2" s="111" t="s">
        <v>235</v>
      </c>
      <c r="D2" s="111" t="s">
        <v>243</v>
      </c>
      <c r="E2" s="111" t="s">
        <v>236</v>
      </c>
      <c r="F2" s="110" t="s">
        <v>237</v>
      </c>
      <c r="G2" s="110" t="s">
        <v>238</v>
      </c>
      <c r="H2" s="110" t="s">
        <v>240</v>
      </c>
      <c r="I2" s="110" t="s">
        <v>239</v>
      </c>
      <c r="J2" s="110" t="s">
        <v>241</v>
      </c>
      <c r="K2" s="110" t="s">
        <v>244</v>
      </c>
      <c r="L2" s="111" t="s">
        <v>242</v>
      </c>
      <c r="M2" s="111" t="s">
        <v>224</v>
      </c>
      <c r="N2" s="110" t="s">
        <v>225</v>
      </c>
    </row>
    <row r="3" spans="1:14" ht="18" customHeight="1" x14ac:dyDescent="0.45">
      <c r="A3" s="159" t="s">
        <v>222</v>
      </c>
      <c r="B3" s="159" t="s">
        <v>226</v>
      </c>
      <c r="C3" s="80" t="s">
        <v>223</v>
      </c>
      <c r="D3" s="80" t="s">
        <v>223</v>
      </c>
      <c r="E3" s="80" t="s">
        <v>223</v>
      </c>
      <c r="F3" s="80" t="s">
        <v>71</v>
      </c>
      <c r="G3" s="80" t="s">
        <v>223</v>
      </c>
      <c r="H3" s="80" t="s">
        <v>223</v>
      </c>
      <c r="I3" s="80" t="s">
        <v>223</v>
      </c>
      <c r="J3" s="80" t="s">
        <v>223</v>
      </c>
      <c r="K3" s="80" t="s">
        <v>223</v>
      </c>
      <c r="L3" s="80" t="s">
        <v>223</v>
      </c>
      <c r="M3" s="80" t="s">
        <v>71</v>
      </c>
      <c r="N3" s="80" t="s">
        <v>71</v>
      </c>
    </row>
    <row r="4" spans="1:14" ht="18" customHeight="1" x14ac:dyDescent="0.45">
      <c r="A4" s="159" t="s">
        <v>222</v>
      </c>
      <c r="B4" s="159" t="s">
        <v>227</v>
      </c>
      <c r="C4" s="80" t="s">
        <v>223</v>
      </c>
      <c r="D4" s="80" t="s">
        <v>223</v>
      </c>
      <c r="E4" s="80" t="s">
        <v>223</v>
      </c>
      <c r="F4" s="80" t="s">
        <v>223</v>
      </c>
      <c r="G4" s="80" t="s">
        <v>223</v>
      </c>
      <c r="H4" s="80" t="s">
        <v>223</v>
      </c>
      <c r="I4" s="80" t="s">
        <v>223</v>
      </c>
      <c r="J4" s="80" t="s">
        <v>223</v>
      </c>
      <c r="K4" s="80" t="s">
        <v>223</v>
      </c>
      <c r="L4" s="80" t="s">
        <v>223</v>
      </c>
      <c r="M4" s="80" t="s">
        <v>223</v>
      </c>
      <c r="N4" s="80" t="s">
        <v>223</v>
      </c>
    </row>
    <row r="5" spans="1:14" ht="18" customHeight="1" x14ac:dyDescent="0.45">
      <c r="A5" s="159" t="s">
        <v>222</v>
      </c>
      <c r="B5" s="159" t="s">
        <v>228</v>
      </c>
      <c r="C5" s="80" t="s">
        <v>223</v>
      </c>
      <c r="D5" s="80" t="s">
        <v>223</v>
      </c>
      <c r="E5" s="80" t="s">
        <v>223</v>
      </c>
      <c r="F5" s="80" t="s">
        <v>223</v>
      </c>
      <c r="G5" s="80" t="s">
        <v>223</v>
      </c>
      <c r="H5" s="80" t="s">
        <v>223</v>
      </c>
      <c r="I5" s="80" t="s">
        <v>223</v>
      </c>
      <c r="J5" s="80" t="s">
        <v>223</v>
      </c>
      <c r="K5" s="80" t="s">
        <v>223</v>
      </c>
      <c r="L5" s="80" t="s">
        <v>223</v>
      </c>
      <c r="M5" s="80" t="s">
        <v>223</v>
      </c>
      <c r="N5" s="80" t="s">
        <v>223</v>
      </c>
    </row>
    <row r="6" spans="1:14" ht="18" customHeight="1" x14ac:dyDescent="0.45">
      <c r="A6" s="159" t="s">
        <v>222</v>
      </c>
      <c r="B6" s="159" t="s">
        <v>229</v>
      </c>
      <c r="C6" s="80" t="s">
        <v>223</v>
      </c>
      <c r="D6" s="80" t="s">
        <v>223</v>
      </c>
      <c r="E6" s="80" t="s">
        <v>223</v>
      </c>
      <c r="F6" s="80" t="s">
        <v>223</v>
      </c>
      <c r="G6" s="80" t="s">
        <v>223</v>
      </c>
      <c r="H6" s="80" t="s">
        <v>223</v>
      </c>
      <c r="I6" s="80" t="s">
        <v>223</v>
      </c>
      <c r="J6" s="80" t="s">
        <v>223</v>
      </c>
      <c r="K6" s="80" t="s">
        <v>223</v>
      </c>
      <c r="L6" s="80" t="s">
        <v>223</v>
      </c>
      <c r="M6" s="80" t="s">
        <v>223</v>
      </c>
      <c r="N6" s="80" t="s">
        <v>223</v>
      </c>
    </row>
    <row r="7" spans="1:14" ht="18" customHeight="1" x14ac:dyDescent="0.45">
      <c r="A7" s="159" t="s">
        <v>222</v>
      </c>
      <c r="B7" s="159" t="s">
        <v>230</v>
      </c>
      <c r="C7" s="80" t="s">
        <v>223</v>
      </c>
      <c r="D7" s="80" t="s">
        <v>223</v>
      </c>
      <c r="E7" s="80" t="s">
        <v>223</v>
      </c>
      <c r="F7" s="80" t="s">
        <v>223</v>
      </c>
      <c r="G7" s="80" t="s">
        <v>71</v>
      </c>
      <c r="H7" s="80" t="s">
        <v>223</v>
      </c>
      <c r="I7" s="80" t="s">
        <v>71</v>
      </c>
      <c r="J7" s="80" t="s">
        <v>223</v>
      </c>
      <c r="K7" s="80" t="s">
        <v>223</v>
      </c>
      <c r="L7" s="80" t="s">
        <v>223</v>
      </c>
      <c r="M7" s="80" t="s">
        <v>223</v>
      </c>
      <c r="N7" s="80" t="s">
        <v>223</v>
      </c>
    </row>
    <row r="8" spans="1:14" ht="18" customHeight="1" x14ac:dyDescent="0.45">
      <c r="A8" s="159" t="s">
        <v>222</v>
      </c>
      <c r="B8" s="159" t="s">
        <v>231</v>
      </c>
      <c r="C8" s="80" t="s">
        <v>223</v>
      </c>
      <c r="D8" s="80" t="s">
        <v>223</v>
      </c>
      <c r="E8" s="80" t="s">
        <v>223</v>
      </c>
      <c r="F8" s="80" t="s">
        <v>223</v>
      </c>
      <c r="G8" s="80" t="s">
        <v>223</v>
      </c>
      <c r="H8" s="80" t="s">
        <v>223</v>
      </c>
      <c r="I8" s="80" t="s">
        <v>223</v>
      </c>
      <c r="J8" s="80" t="s">
        <v>223</v>
      </c>
      <c r="K8" s="80" t="s">
        <v>223</v>
      </c>
      <c r="L8" s="80" t="s">
        <v>223</v>
      </c>
      <c r="M8" s="80" t="s">
        <v>223</v>
      </c>
      <c r="N8" s="80" t="s">
        <v>223</v>
      </c>
    </row>
    <row r="9" spans="1:14" ht="18" customHeight="1" x14ac:dyDescent="0.45">
      <c r="A9" s="159" t="s">
        <v>222</v>
      </c>
      <c r="B9" s="159" t="s">
        <v>232</v>
      </c>
      <c r="C9" s="80" t="s">
        <v>223</v>
      </c>
      <c r="D9" s="80" t="s">
        <v>223</v>
      </c>
      <c r="E9" s="80" t="s">
        <v>223</v>
      </c>
      <c r="F9" s="80" t="s">
        <v>223</v>
      </c>
      <c r="G9" s="80" t="s">
        <v>223</v>
      </c>
      <c r="H9" s="80" t="s">
        <v>223</v>
      </c>
      <c r="I9" s="80" t="s">
        <v>223</v>
      </c>
      <c r="J9" s="80" t="s">
        <v>223</v>
      </c>
      <c r="K9" s="80" t="s">
        <v>223</v>
      </c>
      <c r="L9" s="80" t="s">
        <v>223</v>
      </c>
      <c r="M9" s="80" t="s">
        <v>223</v>
      </c>
      <c r="N9" s="80" t="s">
        <v>223</v>
      </c>
    </row>
    <row r="10" spans="1:14" ht="18" customHeight="1" x14ac:dyDescent="0.45">
      <c r="A10" s="159" t="s">
        <v>222</v>
      </c>
      <c r="B10" s="159" t="s">
        <v>233</v>
      </c>
      <c r="C10" s="80" t="s">
        <v>223</v>
      </c>
      <c r="D10" s="80" t="s">
        <v>223</v>
      </c>
      <c r="E10" s="80" t="s">
        <v>223</v>
      </c>
      <c r="F10" s="80" t="s">
        <v>223</v>
      </c>
      <c r="G10" s="80" t="s">
        <v>223</v>
      </c>
      <c r="H10" s="80" t="s">
        <v>223</v>
      </c>
      <c r="I10" s="80" t="s">
        <v>223</v>
      </c>
      <c r="J10" s="80" t="s">
        <v>223</v>
      </c>
      <c r="K10" s="80" t="s">
        <v>71</v>
      </c>
      <c r="L10" s="80" t="s">
        <v>223</v>
      </c>
      <c r="M10" s="80" t="s">
        <v>223</v>
      </c>
      <c r="N10" s="80" t="s">
        <v>223</v>
      </c>
    </row>
    <row r="11" spans="1:14" ht="18" customHeight="1" x14ac:dyDescent="0.45">
      <c r="A11" s="159" t="s">
        <v>222</v>
      </c>
      <c r="B11" s="159" t="s">
        <v>234</v>
      </c>
      <c r="C11" s="80" t="s">
        <v>71</v>
      </c>
      <c r="D11" s="80" t="s">
        <v>71</v>
      </c>
      <c r="E11" s="80" t="s">
        <v>71</v>
      </c>
      <c r="F11" s="80" t="s">
        <v>223</v>
      </c>
      <c r="G11" s="80" t="s">
        <v>223</v>
      </c>
      <c r="H11" s="80" t="s">
        <v>71</v>
      </c>
      <c r="I11" s="80" t="s">
        <v>223</v>
      </c>
      <c r="J11" s="80" t="s">
        <v>71</v>
      </c>
      <c r="K11" s="80" t="s">
        <v>223</v>
      </c>
      <c r="L11" s="80" t="s">
        <v>71</v>
      </c>
      <c r="M11" s="80" t="s">
        <v>223</v>
      </c>
      <c r="N11" s="80" t="s">
        <v>223</v>
      </c>
    </row>
    <row r="12" spans="1:14" s="69" customFormat="1" ht="18" customHeight="1" thickBot="1" x14ac:dyDescent="0.5">
      <c r="A12" s="68" t="s">
        <v>72</v>
      </c>
    </row>
    <row r="13" spans="1:14" ht="18" customHeight="1" x14ac:dyDescent="0.45">
      <c r="A13" s="71" t="s">
        <v>38</v>
      </c>
      <c r="B13" s="119" t="s">
        <v>219</v>
      </c>
      <c r="C13" s="80" t="s">
        <v>223</v>
      </c>
      <c r="D13" s="80" t="s">
        <v>71</v>
      </c>
      <c r="E13" s="80" t="s">
        <v>223</v>
      </c>
      <c r="F13" s="80" t="s">
        <v>223</v>
      </c>
      <c r="G13" s="80" t="s">
        <v>223</v>
      </c>
      <c r="H13" s="80" t="s">
        <v>223</v>
      </c>
      <c r="I13" s="80" t="s">
        <v>223</v>
      </c>
      <c r="J13" s="80" t="s">
        <v>223</v>
      </c>
      <c r="K13" s="80" t="s">
        <v>223</v>
      </c>
      <c r="L13" s="80" t="s">
        <v>223</v>
      </c>
      <c r="M13" s="80" t="s">
        <v>223</v>
      </c>
      <c r="N13" s="80" t="s">
        <v>223</v>
      </c>
    </row>
    <row r="14" spans="1:14" ht="18" customHeight="1" thickBot="1" x14ac:dyDescent="0.5">
      <c r="A14" s="140"/>
      <c r="B14" s="142"/>
    </row>
    <row r="15" spans="1:14" ht="18" customHeight="1" x14ac:dyDescent="0.45">
      <c r="A15" s="68"/>
    </row>
  </sheetData>
  <phoneticPr fontId="8" type="noConversion"/>
  <conditionalFormatting sqref="B12">
    <cfRule type="duplicateValues" dxfId="5" priority="4472"/>
  </conditionalFormatting>
  <conditionalFormatting sqref="B13">
    <cfRule type="duplicateValues" dxfId="4" priority="4474"/>
  </conditionalFormatting>
  <conditionalFormatting sqref="C2:N2">
    <cfRule type="duplicateValues" dxfId="3" priority="4736"/>
  </conditionalFormatting>
  <conditionalFormatting sqref="C3:N11 C13:N13 A14:B14">
    <cfRule type="containsText" dxfId="2" priority="3791" operator="containsText" text="Disable">
      <formula>NOT(ISERROR(SEARCH("Disable",A3)))</formula>
    </cfRule>
    <cfRule type="containsText" dxfId="1" priority="3792" operator="containsText" text="Enable">
      <formula>NOT(ISERROR(SEARCH("Enable",A3)))</formula>
    </cfRule>
  </conditionalFormatting>
  <pageMargins left="0.7" right="0.7" top="0.75" bottom="0.75" header="0.3" footer="0.3"/>
  <pageSetup paperSize="9" orientation="portrait" r:id="rId1"/>
  <headerFooter>
    <oddHeader>&amp;R&amp;"Arial Black"&amp;10&amp;K4099DA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26EB-0604-4EDA-A55F-AF3012DBD612}">
  <sheetPr codeName="Sheet5"/>
  <dimension ref="A1:N7"/>
  <sheetViews>
    <sheetView zoomScaleNormal="100" workbookViewId="0">
      <pane xSplit="2" ySplit="2" topLeftCell="C3" activePane="bottomRight" state="frozen"/>
      <selection pane="topRight" activeCell="C1" sqref="C1"/>
      <selection pane="bottomLeft" activeCell="A3" sqref="A3"/>
      <selection pane="bottomRight" activeCell="H26" sqref="H26"/>
    </sheetView>
  </sheetViews>
  <sheetFormatPr defaultColWidth="8.796875" defaultRowHeight="20.2" customHeight="1" x14ac:dyDescent="0.45"/>
  <cols>
    <col min="1" max="1" width="12" style="70" customWidth="1"/>
    <col min="2" max="2" width="19" style="70" customWidth="1"/>
    <col min="3" max="14" width="14.06640625" style="70" bestFit="1" customWidth="1"/>
    <col min="15" max="16384" width="8.796875" style="70"/>
  </cols>
  <sheetData>
    <row r="1" spans="1:14" ht="20.2" customHeight="1" thickBot="1" x14ac:dyDescent="0.5">
      <c r="A1" s="68" t="s">
        <v>42</v>
      </c>
      <c r="B1" s="69"/>
    </row>
    <row r="2" spans="1:14" ht="15" customHeight="1" thickBot="1" x14ac:dyDescent="0.5">
      <c r="A2" s="104" t="s">
        <v>41</v>
      </c>
      <c r="B2" s="141" t="s">
        <v>43</v>
      </c>
      <c r="C2" s="111" t="s">
        <v>235</v>
      </c>
      <c r="D2" s="111" t="s">
        <v>243</v>
      </c>
      <c r="E2" s="111" t="s">
        <v>236</v>
      </c>
      <c r="F2" s="110" t="s">
        <v>237</v>
      </c>
      <c r="G2" s="110" t="s">
        <v>238</v>
      </c>
      <c r="H2" s="110" t="s">
        <v>240</v>
      </c>
      <c r="I2" s="110" t="s">
        <v>239</v>
      </c>
      <c r="J2" s="110" t="s">
        <v>241</v>
      </c>
      <c r="K2" s="110" t="s">
        <v>244</v>
      </c>
      <c r="L2" s="111" t="s">
        <v>242</v>
      </c>
      <c r="M2" s="111" t="s">
        <v>224</v>
      </c>
      <c r="N2" s="110" t="s">
        <v>225</v>
      </c>
    </row>
    <row r="3" spans="1:14" ht="20.2" customHeight="1" x14ac:dyDescent="0.45">
      <c r="A3" s="71" t="s">
        <v>38</v>
      </c>
      <c r="B3" s="119" t="s">
        <v>205</v>
      </c>
      <c r="C3" s="73" t="s">
        <v>157</v>
      </c>
      <c r="D3" s="74" t="s">
        <v>157</v>
      </c>
      <c r="E3" s="73" t="s">
        <v>157</v>
      </c>
      <c r="F3" s="74" t="s">
        <v>157</v>
      </c>
      <c r="G3" s="73" t="s">
        <v>157</v>
      </c>
      <c r="H3" s="74" t="s">
        <v>157</v>
      </c>
      <c r="I3" s="73" t="s">
        <v>157</v>
      </c>
      <c r="J3" s="74" t="s">
        <v>157</v>
      </c>
      <c r="K3" s="73" t="s">
        <v>157</v>
      </c>
      <c r="L3" s="74" t="s">
        <v>157</v>
      </c>
      <c r="M3" s="73" t="s">
        <v>157</v>
      </c>
      <c r="N3" s="74" t="s">
        <v>157</v>
      </c>
    </row>
    <row r="4" spans="1:14" ht="20.2" customHeight="1" thickBot="1" x14ac:dyDescent="0.5">
      <c r="A4" s="75" t="s">
        <v>38</v>
      </c>
      <c r="B4" s="121" t="s">
        <v>206</v>
      </c>
      <c r="C4" s="77" t="s">
        <v>157</v>
      </c>
      <c r="D4" s="78" t="s">
        <v>157</v>
      </c>
      <c r="E4" s="77" t="s">
        <v>157</v>
      </c>
      <c r="F4" s="78" t="s">
        <v>157</v>
      </c>
      <c r="G4" s="77" t="s">
        <v>157</v>
      </c>
      <c r="H4" s="78" t="s">
        <v>157</v>
      </c>
      <c r="I4" s="77" t="s">
        <v>157</v>
      </c>
      <c r="J4" s="78" t="s">
        <v>157</v>
      </c>
      <c r="K4" s="77" t="s">
        <v>157</v>
      </c>
      <c r="L4" s="78" t="s">
        <v>157</v>
      </c>
      <c r="M4" s="77" t="s">
        <v>157</v>
      </c>
      <c r="N4" s="78" t="s">
        <v>157</v>
      </c>
    </row>
    <row r="5" spans="1:14" ht="20.2" customHeight="1" x14ac:dyDescent="0.45">
      <c r="A5" s="68"/>
      <c r="B5" s="69"/>
    </row>
    <row r="7" spans="1:14" ht="20.2" customHeight="1" x14ac:dyDescent="0.45">
      <c r="A7" s="79"/>
    </row>
  </sheetData>
  <phoneticPr fontId="8" type="noConversion"/>
  <conditionalFormatting sqref="C2:N2">
    <cfRule type="duplicateValues" dxfId="0" priority="1"/>
  </conditionalFormatting>
  <pageMargins left="0.7" right="0.7" top="0.75" bottom="0.75" header="0.3" footer="0.3"/>
  <pageSetup paperSize="9" orientation="portrait" r:id="rId1"/>
  <headerFooter>
    <oddHeader>&amp;R&amp;"Arial Black"&amp;10&amp;K4099DA INTERNAL&amp;1#_x000D_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D-BCF6-43F6-8D9C-25EFF7471D30}">
  <sheetPr codeName="Sheet6"/>
  <dimension ref="A1:H23"/>
  <sheetViews>
    <sheetView zoomScaleNormal="100" workbookViewId="0">
      <selection activeCell="A14" sqref="A14"/>
    </sheetView>
  </sheetViews>
  <sheetFormatPr defaultColWidth="8.796875" defaultRowHeight="15" customHeight="1" x14ac:dyDescent="0.45"/>
  <cols>
    <col min="1" max="1" width="16.796875" style="70" customWidth="1"/>
    <col min="2" max="16384" width="8.796875" style="70"/>
  </cols>
  <sheetData>
    <row r="1" spans="1:8" ht="15" customHeight="1" thickBot="1" x14ac:dyDescent="0.5">
      <c r="A1" s="89" t="s">
        <v>50</v>
      </c>
      <c r="B1" s="89" t="s">
        <v>131</v>
      </c>
      <c r="C1" s="88" t="s">
        <v>132</v>
      </c>
      <c r="D1" s="86" t="s">
        <v>193</v>
      </c>
      <c r="E1" s="86" t="s">
        <v>194</v>
      </c>
      <c r="F1" s="86" t="s">
        <v>195</v>
      </c>
      <c r="G1" s="86" t="s">
        <v>196</v>
      </c>
      <c r="H1" s="87" t="s">
        <v>139</v>
      </c>
    </row>
    <row r="2" spans="1:8" ht="15" customHeight="1" x14ac:dyDescent="0.45">
      <c r="A2" s="93" t="s">
        <v>178</v>
      </c>
      <c r="B2" s="93">
        <v>161</v>
      </c>
      <c r="C2" s="90">
        <v>170</v>
      </c>
      <c r="D2" s="81">
        <v>325</v>
      </c>
      <c r="E2" s="81">
        <v>325</v>
      </c>
      <c r="F2" s="81">
        <v>620</v>
      </c>
      <c r="G2" s="81">
        <v>620</v>
      </c>
      <c r="H2" s="82">
        <v>750</v>
      </c>
    </row>
    <row r="3" spans="1:8" ht="15" customHeight="1" x14ac:dyDescent="0.45">
      <c r="A3" s="94" t="s">
        <v>220</v>
      </c>
      <c r="B3" s="94">
        <v>161</v>
      </c>
      <c r="C3" s="91">
        <v>170</v>
      </c>
      <c r="D3" s="80">
        <v>325</v>
      </c>
      <c r="E3" s="80">
        <v>325</v>
      </c>
      <c r="F3" s="80">
        <v>620</v>
      </c>
      <c r="G3" s="80">
        <v>620</v>
      </c>
      <c r="H3" s="83">
        <v>750</v>
      </c>
    </row>
    <row r="4" spans="1:8" ht="15" customHeight="1" x14ac:dyDescent="0.45">
      <c r="A4" s="94" t="s">
        <v>179</v>
      </c>
      <c r="B4" s="94">
        <v>161</v>
      </c>
      <c r="C4" s="91">
        <v>170</v>
      </c>
      <c r="D4" s="80">
        <v>325</v>
      </c>
      <c r="E4" s="80">
        <v>325</v>
      </c>
      <c r="F4" s="80">
        <v>620</v>
      </c>
      <c r="G4" s="80">
        <v>620</v>
      </c>
      <c r="H4" s="83">
        <v>750</v>
      </c>
    </row>
    <row r="5" spans="1:8" ht="15" customHeight="1" thickBot="1" x14ac:dyDescent="0.5">
      <c r="A5" s="95" t="s">
        <v>180</v>
      </c>
      <c r="B5" s="95">
        <v>161</v>
      </c>
      <c r="C5" s="92">
        <v>170</v>
      </c>
      <c r="D5" s="84">
        <v>325</v>
      </c>
      <c r="E5" s="84">
        <v>325</v>
      </c>
      <c r="F5" s="84">
        <v>620</v>
      </c>
      <c r="G5" s="84">
        <v>620</v>
      </c>
      <c r="H5" s="85">
        <v>750</v>
      </c>
    </row>
    <row r="6" spans="1:8" ht="15" customHeight="1" x14ac:dyDescent="0.45">
      <c r="A6" s="96" t="s">
        <v>197</v>
      </c>
      <c r="B6" s="96">
        <v>22.8</v>
      </c>
      <c r="C6" s="90">
        <v>24</v>
      </c>
      <c r="D6" s="81">
        <v>50</v>
      </c>
      <c r="E6" s="81">
        <v>50</v>
      </c>
      <c r="F6" s="101">
        <v>116</v>
      </c>
      <c r="G6" s="101">
        <v>116</v>
      </c>
      <c r="H6" s="82">
        <v>145</v>
      </c>
    </row>
    <row r="7" spans="1:8" ht="15" customHeight="1" x14ac:dyDescent="0.45">
      <c r="A7" s="97" t="s">
        <v>198</v>
      </c>
      <c r="B7" s="97">
        <v>22.8</v>
      </c>
      <c r="C7" s="91">
        <v>24</v>
      </c>
      <c r="D7" s="80">
        <v>50</v>
      </c>
      <c r="E7" s="80">
        <v>50</v>
      </c>
      <c r="F7" s="102">
        <v>116</v>
      </c>
      <c r="G7" s="102">
        <v>116</v>
      </c>
      <c r="H7" s="83">
        <v>145</v>
      </c>
    </row>
    <row r="8" spans="1:8" ht="15" customHeight="1" x14ac:dyDescent="0.45">
      <c r="A8" s="97" t="s">
        <v>199</v>
      </c>
      <c r="B8" s="97">
        <v>22.8</v>
      </c>
      <c r="C8" s="91">
        <v>24</v>
      </c>
      <c r="D8" s="80">
        <v>50</v>
      </c>
      <c r="E8" s="80">
        <v>50</v>
      </c>
      <c r="F8" s="102">
        <v>116</v>
      </c>
      <c r="G8" s="102">
        <v>116</v>
      </c>
      <c r="H8" s="83">
        <v>145</v>
      </c>
    </row>
    <row r="9" spans="1:8" ht="15" customHeight="1" thickBot="1" x14ac:dyDescent="0.5">
      <c r="A9" s="98" t="s">
        <v>200</v>
      </c>
      <c r="B9" s="98">
        <v>22.8</v>
      </c>
      <c r="C9" s="92">
        <v>24</v>
      </c>
      <c r="D9" s="84">
        <v>50</v>
      </c>
      <c r="E9" s="84">
        <v>50</v>
      </c>
      <c r="F9" s="103">
        <v>116</v>
      </c>
      <c r="G9" s="103">
        <v>116</v>
      </c>
      <c r="H9" s="85">
        <v>145</v>
      </c>
    </row>
    <row r="10" spans="1:8" ht="15" customHeight="1" x14ac:dyDescent="0.45">
      <c r="A10" s="107" t="s">
        <v>201</v>
      </c>
      <c r="B10" s="107">
        <v>230</v>
      </c>
      <c r="C10" s="90">
        <v>245</v>
      </c>
      <c r="D10" s="81">
        <v>460</v>
      </c>
      <c r="E10" s="81">
        <v>460</v>
      </c>
      <c r="F10" s="81">
        <v>850</v>
      </c>
      <c r="G10" s="81">
        <v>850</v>
      </c>
      <c r="H10" s="82">
        <v>1050</v>
      </c>
    </row>
    <row r="11" spans="1:8" ht="15" customHeight="1" x14ac:dyDescent="0.45">
      <c r="A11" s="108" t="s">
        <v>202</v>
      </c>
      <c r="B11" s="108">
        <v>230</v>
      </c>
      <c r="C11" s="91">
        <v>245</v>
      </c>
      <c r="D11" s="80">
        <v>460</v>
      </c>
      <c r="E11" s="80">
        <v>460</v>
      </c>
      <c r="F11" s="80">
        <v>850</v>
      </c>
      <c r="G11" s="80">
        <v>850</v>
      </c>
      <c r="H11" s="83">
        <v>1050</v>
      </c>
    </row>
    <row r="12" spans="1:8" ht="15" customHeight="1" x14ac:dyDescent="0.45">
      <c r="A12" s="108" t="s">
        <v>177</v>
      </c>
      <c r="B12" s="108">
        <v>230</v>
      </c>
      <c r="C12" s="91">
        <v>245</v>
      </c>
      <c r="D12" s="80">
        <v>460</v>
      </c>
      <c r="E12" s="80">
        <v>460</v>
      </c>
      <c r="F12" s="80">
        <v>850</v>
      </c>
      <c r="G12" s="80">
        <v>850</v>
      </c>
      <c r="H12" s="83">
        <v>1050</v>
      </c>
    </row>
    <row r="13" spans="1:8" ht="15" customHeight="1" x14ac:dyDescent="0.45">
      <c r="A13" s="108" t="s">
        <v>181</v>
      </c>
      <c r="B13" s="108">
        <v>230</v>
      </c>
      <c r="C13" s="91">
        <v>245</v>
      </c>
      <c r="D13" s="80">
        <v>460</v>
      </c>
      <c r="E13" s="80">
        <v>460</v>
      </c>
      <c r="F13" s="80">
        <v>850</v>
      </c>
      <c r="G13" s="80">
        <v>850</v>
      </c>
      <c r="H13" s="83">
        <v>1050</v>
      </c>
    </row>
    <row r="14" spans="1:8" ht="15" customHeight="1" x14ac:dyDescent="0.45">
      <c r="A14" s="108" t="s">
        <v>184</v>
      </c>
      <c r="B14" s="108">
        <v>230</v>
      </c>
      <c r="C14" s="91">
        <v>245</v>
      </c>
      <c r="D14" s="80">
        <v>460</v>
      </c>
      <c r="E14" s="80">
        <v>460</v>
      </c>
      <c r="F14" s="80">
        <v>850</v>
      </c>
      <c r="G14" s="80">
        <v>850</v>
      </c>
      <c r="H14" s="83">
        <v>1050</v>
      </c>
    </row>
    <row r="15" spans="1:8" ht="15" customHeight="1" x14ac:dyDescent="0.45">
      <c r="A15" s="108" t="s">
        <v>185</v>
      </c>
      <c r="B15" s="108">
        <v>230</v>
      </c>
      <c r="C15" s="91">
        <v>245</v>
      </c>
      <c r="D15" s="80">
        <v>460</v>
      </c>
      <c r="E15" s="80">
        <v>460</v>
      </c>
      <c r="F15" s="80">
        <v>850</v>
      </c>
      <c r="G15" s="80">
        <v>850</v>
      </c>
      <c r="H15" s="83">
        <v>1050</v>
      </c>
    </row>
    <row r="16" spans="1:8" ht="15" customHeight="1" x14ac:dyDescent="0.45">
      <c r="A16" s="108" t="s">
        <v>182</v>
      </c>
      <c r="B16" s="108">
        <v>230</v>
      </c>
      <c r="C16" s="91">
        <v>245</v>
      </c>
      <c r="D16" s="80">
        <v>460</v>
      </c>
      <c r="E16" s="80">
        <v>460</v>
      </c>
      <c r="F16" s="80">
        <v>850</v>
      </c>
      <c r="G16" s="80">
        <v>850</v>
      </c>
      <c r="H16" s="83">
        <v>1050</v>
      </c>
    </row>
    <row r="17" spans="1:8" ht="15" customHeight="1" x14ac:dyDescent="0.45">
      <c r="A17" s="108" t="s">
        <v>183</v>
      </c>
      <c r="B17" s="108">
        <v>230</v>
      </c>
      <c r="C17" s="91">
        <v>245</v>
      </c>
      <c r="D17" s="80">
        <v>460</v>
      </c>
      <c r="E17" s="80">
        <v>460</v>
      </c>
      <c r="F17" s="80">
        <v>850</v>
      </c>
      <c r="G17" s="80">
        <v>850</v>
      </c>
      <c r="H17" s="83">
        <v>1050</v>
      </c>
    </row>
    <row r="18" spans="1:8" ht="15" customHeight="1" x14ac:dyDescent="0.45">
      <c r="A18" s="108" t="s">
        <v>140</v>
      </c>
      <c r="B18" s="108">
        <v>230</v>
      </c>
      <c r="C18" s="91">
        <v>245</v>
      </c>
      <c r="D18" s="80">
        <v>460</v>
      </c>
      <c r="E18" s="80">
        <v>460</v>
      </c>
      <c r="F18" s="80">
        <v>850</v>
      </c>
      <c r="G18" s="80">
        <v>850</v>
      </c>
      <c r="H18" s="83">
        <v>1050</v>
      </c>
    </row>
    <row r="19" spans="1:8" ht="15" customHeight="1" x14ac:dyDescent="0.45">
      <c r="A19" s="108" t="s">
        <v>186</v>
      </c>
      <c r="B19" s="108">
        <v>230</v>
      </c>
      <c r="C19" s="91">
        <v>245</v>
      </c>
      <c r="D19" s="80">
        <v>460</v>
      </c>
      <c r="E19" s="80">
        <v>460</v>
      </c>
      <c r="F19" s="80">
        <v>850</v>
      </c>
      <c r="G19" s="80">
        <v>850</v>
      </c>
      <c r="H19" s="83">
        <v>1050</v>
      </c>
    </row>
    <row r="20" spans="1:8" ht="15" customHeight="1" x14ac:dyDescent="0.45">
      <c r="A20" s="108" t="s">
        <v>187</v>
      </c>
      <c r="B20" s="108">
        <v>230</v>
      </c>
      <c r="C20" s="91">
        <v>245</v>
      </c>
      <c r="D20" s="80">
        <v>460</v>
      </c>
      <c r="E20" s="80">
        <v>460</v>
      </c>
      <c r="F20" s="80">
        <v>850</v>
      </c>
      <c r="G20" s="80">
        <v>850</v>
      </c>
      <c r="H20" s="83">
        <v>1050</v>
      </c>
    </row>
    <row r="21" spans="1:8" ht="15" customHeight="1" thickBot="1" x14ac:dyDescent="0.5">
      <c r="A21" s="109" t="s">
        <v>188</v>
      </c>
      <c r="B21" s="109">
        <v>230</v>
      </c>
      <c r="C21" s="92">
        <v>245</v>
      </c>
      <c r="D21" s="84">
        <v>460</v>
      </c>
      <c r="E21" s="84">
        <v>460</v>
      </c>
      <c r="F21" s="84">
        <v>850</v>
      </c>
      <c r="G21" s="84">
        <v>850</v>
      </c>
      <c r="H21" s="85">
        <v>1050</v>
      </c>
    </row>
    <row r="22" spans="1:8" ht="15" customHeight="1" x14ac:dyDescent="0.45">
      <c r="A22" s="99" t="s">
        <v>203</v>
      </c>
      <c r="B22" s="99">
        <v>66</v>
      </c>
      <c r="C22" s="90">
        <v>72.5</v>
      </c>
      <c r="D22" s="81">
        <v>140</v>
      </c>
      <c r="E22" s="81">
        <v>140</v>
      </c>
      <c r="F22" s="101">
        <v>260</v>
      </c>
      <c r="G22" s="101">
        <v>260</v>
      </c>
      <c r="H22" s="82">
        <v>325</v>
      </c>
    </row>
    <row r="23" spans="1:8" ht="15" customHeight="1" x14ac:dyDescent="0.45">
      <c r="A23" s="100" t="s">
        <v>204</v>
      </c>
      <c r="B23" s="100">
        <v>66</v>
      </c>
      <c r="C23" s="91">
        <v>72.5</v>
      </c>
      <c r="D23" s="80">
        <v>140</v>
      </c>
      <c r="E23" s="80">
        <v>140</v>
      </c>
      <c r="F23" s="102">
        <v>260</v>
      </c>
      <c r="G23" s="102">
        <v>260</v>
      </c>
      <c r="H23" s="83">
        <v>325</v>
      </c>
    </row>
  </sheetData>
  <phoneticPr fontId="8" type="noConversion"/>
  <pageMargins left="0.7" right="0.7" top="0.75" bottom="0.75" header="0.3" footer="0.3"/>
  <headerFooter>
    <oddHeader>&amp;R&amp;"Arial Black"&amp;10&amp;K4099DA INTERNAL&amp;1#_x000D_</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BaseSheet</vt:lpstr>
      <vt:lpstr>Input_Data</vt:lpstr>
      <vt:lpstr>Comp_Stat</vt:lpstr>
      <vt:lpstr>Layer_Stat</vt:lpstr>
      <vt:lpstr>Res_Flux</vt:lpstr>
      <vt:lpstr>MM_blocks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Munji</dc:creator>
  <cp:lastModifiedBy>Andrey Nikishin</cp:lastModifiedBy>
  <dcterms:created xsi:type="dcterms:W3CDTF">2015-06-05T18:17:20Z</dcterms:created>
  <dcterms:modified xsi:type="dcterms:W3CDTF">2026-04-25T20:01:31Z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d9a29f-7d17-4193-85e4-1bef0fc2e901_Enabled">
    <vt:lpwstr>true</vt:lpwstr>
  </property>
  <property fmtid="{D5CDD505-2E9C-101B-9397-08002B2CF9AE}" pid="3" name="MSIP_Label_b8d9a29f-7d17-4193-85e4-1bef0fc2e901_SetDate">
    <vt:lpwstr>2023-09-07T14:27:27Z</vt:lpwstr>
  </property>
  <property fmtid="{D5CDD505-2E9C-101B-9397-08002B2CF9AE}" pid="4" name="MSIP_Label_b8d9a29f-7d17-4193-85e4-1bef0fc2e901_Method">
    <vt:lpwstr>Standard</vt:lpwstr>
  </property>
  <property fmtid="{D5CDD505-2E9C-101B-9397-08002B2CF9AE}" pid="5" name="MSIP_Label_b8d9a29f-7d17-4193-85e4-1bef0fc2e901_Name">
    <vt:lpwstr>b8d9a29f-7d17-4193-85e4-1bef0fc2e901</vt:lpwstr>
  </property>
  <property fmtid="{D5CDD505-2E9C-101B-9397-08002B2CF9AE}" pid="6" name="MSIP_Label_b8d9a29f-7d17-4193-85e4-1bef0fc2e901_SiteId">
    <vt:lpwstr>100b3c99-f3e2-4da0-9c8a-b9d345742c36</vt:lpwstr>
  </property>
  <property fmtid="{D5CDD505-2E9C-101B-9397-08002B2CF9AE}" pid="7" name="MSIP_Label_b8d9a29f-7d17-4193-85e4-1bef0fc2e901_ActionId">
    <vt:lpwstr>74630eb0-f492-46d2-83e2-cb8b48ea09c0</vt:lpwstr>
  </property>
  <property fmtid="{D5CDD505-2E9C-101B-9397-08002B2CF9AE}" pid="8" name="MSIP_Label_b8d9a29f-7d17-4193-85e4-1bef0fc2e901_ContentBits">
    <vt:lpwstr>1</vt:lpwstr>
  </property>
</Properties>
</file>